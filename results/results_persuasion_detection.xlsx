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cuments\Faculdade\Mestrado\Tese\cenas\excels\"/>
    </mc:Choice>
  </mc:AlternateContent>
  <xr:revisionPtr revIDLastSave="0" documentId="13_ncr:1_{9A53C9CA-B413-4237-8AEB-E21159C63168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Per-Technique Results" sheetId="1" r:id="rId1"/>
    <sheet name="Threshold Sweeps" sheetId="2" r:id="rId2"/>
    <sheet name="All Models Comparis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H57" i="1"/>
  <c r="G57" i="1"/>
  <c r="F57" i="1"/>
  <c r="E57" i="1"/>
  <c r="I27" i="1"/>
  <c r="H27" i="1"/>
  <c r="G27" i="1"/>
  <c r="F27" i="1"/>
  <c r="E27" i="1"/>
</calcChain>
</file>

<file path=xl/sharedStrings.xml><?xml version="1.0" encoding="utf-8"?>
<sst xmlns="http://schemas.openxmlformats.org/spreadsheetml/2006/main" count="343" uniqueCount="85">
  <si>
    <t>System</t>
  </si>
  <si>
    <t>Threshold Type</t>
  </si>
  <si>
    <t>Best Threshold</t>
  </si>
  <si>
    <t>F1-micro</t>
  </si>
  <si>
    <t>F1-macro</t>
  </si>
  <si>
    <t>Precision</t>
  </si>
  <si>
    <t>Recall</t>
  </si>
  <si>
    <t>Spans</t>
  </si>
  <si>
    <t>Notes</t>
  </si>
  <si>
    <t>Global</t>
  </si>
  <si>
    <t>0.70</t>
  </si>
  <si>
    <t>PersuasionMultiSpan*</t>
  </si>
  <si>
    <t>—</t>
  </si>
  <si>
    <t>XLM-RoBERTa sigmoid + pos_weight</t>
  </si>
  <si>
    <t>UniBO (1st place)</t>
  </si>
  <si>
    <t>mBERT + data augment + 23 classifiers</t>
  </si>
  <si>
    <t>BERT_baseline</t>
  </si>
  <si>
    <t>0.40</t>
  </si>
  <si>
    <t>mBERT BIO softmax + IT→PT retrain</t>
  </si>
  <si>
    <t>XLMR_baseline</t>
  </si>
  <si>
    <t>0.30</t>
  </si>
  <si>
    <t>Gemini 2.5 Flash (zero-shot)</t>
  </si>
  <si>
    <t>Gemini LLM zero-shot prompting</t>
  </si>
  <si>
    <t>Baseline (zero-shot)</t>
  </si>
  <si>
    <t>Technique</t>
  </si>
  <si>
    <t>F1</t>
  </si>
  <si>
    <t>TP</t>
  </si>
  <si>
    <t>FP</t>
  </si>
  <si>
    <t>FN</t>
  </si>
  <si>
    <t>Gold#</t>
  </si>
  <si>
    <t>Pred#</t>
  </si>
  <si>
    <t>Questioning_the_Reputation</t>
  </si>
  <si>
    <t>Loaded_Language</t>
  </si>
  <si>
    <t>Name_Calling-Labeling</t>
  </si>
  <si>
    <t>Appeal_to_Values</t>
  </si>
  <si>
    <t>Repetition</t>
  </si>
  <si>
    <t>Appeal_to_Fear-Prejudice</t>
  </si>
  <si>
    <t>Doubt</t>
  </si>
  <si>
    <t>Consequential_Oversimplification</t>
  </si>
  <si>
    <t>Appeal_to_Time</t>
  </si>
  <si>
    <t>False_Dilemma-No_Choice</t>
  </si>
  <si>
    <t>Exaggeration-Minimisation</t>
  </si>
  <si>
    <t>Appeal_to_Authority</t>
  </si>
  <si>
    <t>Conversation_Killer</t>
  </si>
  <si>
    <t>Causal_Oversimplification</t>
  </si>
  <si>
    <t>Slogans</t>
  </si>
  <si>
    <t>Appeal_to_Hypocrisy</t>
  </si>
  <si>
    <t>Obfuscation-Vagueness-Confusion</t>
  </si>
  <si>
    <t>Flag_Waving</t>
  </si>
  <si>
    <t>Guilt_by_Association</t>
  </si>
  <si>
    <t>Red_Herring</t>
  </si>
  <si>
    <t>Appeal_to_Popularity</t>
  </si>
  <si>
    <t>Straw_Man</t>
  </si>
  <si>
    <t>Whataboutism</t>
  </si>
  <si>
    <t>MICRO</t>
  </si>
  <si>
    <t>MACRO</t>
  </si>
  <si>
    <t>BERT_baseline Per-technique</t>
  </si>
  <si>
    <t>Gold #</t>
  </si>
  <si>
    <t>Pred #</t>
  </si>
  <si>
    <t>MICRO AVERAGE</t>
  </si>
  <si>
    <t>MACRO AVERAGE</t>
  </si>
  <si>
    <t>XLMR_baseline Per-technique</t>
  </si>
  <si>
    <t>Gemini Per-technique</t>
  </si>
  <si>
    <t>Model3 Threshold Sweep</t>
  </si>
  <si>
    <t>Threshold</t>
  </si>
  <si>
    <t>Predicted Spans</t>
  </si>
  <si>
    <t>BERT_baseline Threshold Sweep</t>
  </si>
  <si>
    <t>XLMR_baseline Threshold Sweep</t>
  </si>
  <si>
    <t>Model4 IT→PT only Threshold Sweep (BEST)</t>
  </si>
  <si>
    <t>Model4 IT+FR+RU→PT Threshold Sweep</t>
  </si>
  <si>
    <t>Model4 IT+FR→PT Threshold Sweep</t>
  </si>
  <si>
    <t>XLM-RoBERTa basezero-shot</t>
  </si>
  <si>
    <t>XLM-RoBERTa BIO softmax + IT→PT retrain</t>
  </si>
  <si>
    <t>XLM-RoBERTa multi-label (organizers post-comp)</t>
  </si>
  <si>
    <t>XLM-RoBERTa sigmoid + per-output pos_weight + IT+ FR</t>
  </si>
  <si>
    <t>XLM-RoBERTa sigmoid + per-output pos_weight + IT + FR + RU</t>
  </si>
  <si>
    <t>XLM-RoBERTa sigmoid + per-output pos_weight + IT</t>
  </si>
  <si>
    <t>Model2 (all langs, IT→PT only)</t>
  </si>
  <si>
    <t>Model2 (all langs, IT+FR→PT)</t>
  </si>
  <si>
    <t>Model2 (all langs, IT+FR+RU→PT)</t>
  </si>
  <si>
    <t>Model1 (EN+IT→PT)</t>
  </si>
  <si>
    <t>Model2 IT+FR→PT Per-technique</t>
  </si>
  <si>
    <t>Model1 Per-technique</t>
  </si>
  <si>
    <t>Model2 IT+FR+RU→PT Per-technique</t>
  </si>
  <si>
    <t>Model2 IT→PT Per-technique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</si>
</sst>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2"/>
      <color rgb="FF1F4E79"/>
      <name val="Arial"/>
    </font>
    <font>
      <b/>
      <sz val="11"/>
      <color rgb="FFFFFFFF"/>
      <name val="Arial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rgb="FF1F4E79"/>
      <name val="Arial"/>
    </font>
    <font>
      <b/>
      <sz val="11"/>
      <color rgb="FFFFFFFF"/>
      <name val="Arial"/>
    </font>
    <font>
      <sz val="11"/>
      <name val="Calibri"/>
    </font>
    <font>
      <b/>
      <sz val="11"/>
      <color rgb="FFFFFF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FFFFF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D6E4F0"/>
      </patternFill>
    </fill>
    <fill>
      <patternFill patternType="solid">
        <fgColor rgb="FFC8E6C9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3F2FD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4472C4"/>
      </top>
      <bottom/>
      <diagonal/>
    </border>
    <border>
      <left/>
      <right/>
      <top/>
      <bottom style="medium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164" fontId="2" fillId="7" borderId="1" xfId="0" applyNumberFormat="1" applyFont="1" applyFill="1" applyBorder="1"/>
    <xf numFmtId="0" fontId="4" fillId="8" borderId="2" xfId="0" applyFont="1" applyFill="1" applyBorder="1"/>
    <xf numFmtId="0" fontId="0" fillId="8" borderId="2" xfId="0" applyFill="1" applyBorder="1"/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2" fontId="1" fillId="10" borderId="3" xfId="0" applyNumberFormat="1" applyFont="1" applyFill="1" applyBorder="1" applyAlignment="1">
      <alignment horizontal="center"/>
    </xf>
    <xf numFmtId="164" fontId="1" fillId="10" borderId="3" xfId="0" applyNumberFormat="1" applyFont="1" applyFill="1" applyBorder="1" applyAlignment="1">
      <alignment horizontal="center"/>
    </xf>
    <xf numFmtId="3" fontId="1" fillId="10" borderId="3" xfId="0" applyNumberFormat="1" applyFont="1" applyFill="1" applyBorder="1" applyAlignment="1">
      <alignment horizontal="center"/>
    </xf>
    <xf numFmtId="2" fontId="1" fillId="10" borderId="4" xfId="0" applyNumberFormat="1" applyFont="1" applyFill="1" applyBorder="1" applyAlignment="1">
      <alignment horizontal="center"/>
    </xf>
    <xf numFmtId="164" fontId="1" fillId="10" borderId="4" xfId="0" applyNumberFormat="1" applyFont="1" applyFill="1" applyBorder="1" applyAlignment="1">
      <alignment horizontal="center"/>
    </xf>
    <xf numFmtId="3" fontId="1" fillId="10" borderId="4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2" fontId="2" fillId="11" borderId="7" xfId="0" applyNumberFormat="1" applyFont="1" applyFill="1" applyBorder="1" applyAlignment="1">
      <alignment horizontal="center"/>
    </xf>
    <xf numFmtId="164" fontId="2" fillId="11" borderId="7" xfId="0" applyNumberFormat="1" applyFont="1" applyFill="1" applyBorder="1" applyAlignment="1">
      <alignment horizontal="center"/>
    </xf>
    <xf numFmtId="3" fontId="2" fillId="11" borderId="6" xfId="0" applyNumberFormat="1" applyFont="1" applyFill="1" applyBorder="1" applyAlignment="1">
      <alignment horizontal="center"/>
    </xf>
    <xf numFmtId="2" fontId="6" fillId="10" borderId="4" xfId="0" applyNumberFormat="1" applyFont="1" applyFill="1" applyBorder="1" applyAlignment="1">
      <alignment horizontal="center"/>
    </xf>
    <xf numFmtId="164" fontId="6" fillId="10" borderId="4" xfId="0" applyNumberFormat="1" applyFont="1" applyFill="1" applyBorder="1" applyAlignment="1">
      <alignment horizontal="center"/>
    </xf>
    <xf numFmtId="3" fontId="6" fillId="10" borderId="4" xfId="0" applyNumberFormat="1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6" fillId="10" borderId="4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6" fillId="10" borderId="3" xfId="0" applyNumberFormat="1" applyFont="1" applyFill="1" applyBorder="1" applyAlignment="1">
      <alignment horizontal="center"/>
    </xf>
    <xf numFmtId="0" fontId="0" fillId="13" borderId="6" xfId="0" applyFill="1" applyBorder="1"/>
    <xf numFmtId="0" fontId="0" fillId="14" borderId="0" xfId="0" applyFill="1"/>
    <xf numFmtId="164" fontId="2" fillId="7" borderId="5" xfId="0" applyNumberFormat="1" applyFont="1" applyFill="1" applyBorder="1"/>
    <xf numFmtId="0" fontId="0" fillId="7" borderId="6" xfId="0" applyFill="1" applyBorder="1"/>
    <xf numFmtId="165" fontId="8" fillId="13" borderId="5" xfId="0" applyNumberFormat="1" applyFont="1" applyFill="1" applyBorder="1"/>
    <xf numFmtId="0" fontId="0" fillId="7" borderId="7" xfId="0" applyFill="1" applyBorder="1"/>
    <xf numFmtId="1" fontId="0" fillId="0" borderId="0" xfId="0" applyNumberFormat="1"/>
    <xf numFmtId="1" fontId="8" fillId="13" borderId="5" xfId="0" applyNumberFormat="1" applyFont="1" applyFill="1" applyBorder="1"/>
    <xf numFmtId="1" fontId="8" fillId="13" borderId="3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9" fillId="15" borderId="9" xfId="0" applyFont="1" applyFill="1" applyBorder="1"/>
    <xf numFmtId="0" fontId="0" fillId="15" borderId="9" xfId="0" applyFill="1" applyBorder="1"/>
    <xf numFmtId="0" fontId="10" fillId="16" borderId="10" xfId="0" applyFont="1" applyFill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4" fontId="1" fillId="17" borderId="10" xfId="0" applyNumberFormat="1" applyFont="1" applyFill="1" applyBorder="1" applyAlignment="1">
      <alignment horizontal="center"/>
    </xf>
    <xf numFmtId="164" fontId="1" fillId="18" borderId="10" xfId="0" applyNumberFormat="1" applyFont="1" applyFill="1" applyBorder="1" applyAlignment="1">
      <alignment horizontal="center"/>
    </xf>
    <xf numFmtId="164" fontId="1" fillId="19" borderId="10" xfId="0" applyNumberFormat="1" applyFont="1" applyFill="1" applyBorder="1" applyAlignment="1">
      <alignment horizontal="center"/>
    </xf>
    <xf numFmtId="0" fontId="2" fillId="20" borderId="10" xfId="0" applyFont="1" applyFill="1" applyBorder="1"/>
    <xf numFmtId="164" fontId="2" fillId="20" borderId="10" xfId="0" applyNumberFormat="1" applyFont="1" applyFill="1" applyBorder="1"/>
    <xf numFmtId="165" fontId="2" fillId="20" borderId="10" xfId="0" applyNumberFormat="1" applyFont="1" applyFill="1" applyBorder="1"/>
    <xf numFmtId="0" fontId="0" fillId="20" borderId="10" xfId="0" applyFill="1" applyBorder="1"/>
    <xf numFmtId="0" fontId="0" fillId="22" borderId="12" xfId="0" applyFill="1" applyBorder="1"/>
    <xf numFmtId="0" fontId="12" fillId="23" borderId="11" xfId="0" applyFont="1" applyFill="1" applyBorder="1" applyAlignment="1">
      <alignment horizontal="center"/>
    </xf>
    <xf numFmtId="0" fontId="1" fillId="0" borderId="11" xfId="0" applyFont="1" applyBorder="1"/>
    <xf numFmtId="164" fontId="1" fillId="24" borderId="11" xfId="0" applyNumberFormat="1" applyFont="1" applyFill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4" fontId="1" fillId="25" borderId="11" xfId="0" applyNumberFormat="1" applyFont="1" applyFill="1" applyBorder="1" applyAlignment="1">
      <alignment horizontal="center"/>
    </xf>
    <xf numFmtId="164" fontId="1" fillId="26" borderId="11" xfId="0" applyNumberFormat="1" applyFont="1" applyFill="1" applyBorder="1" applyAlignment="1">
      <alignment horizontal="center"/>
    </xf>
    <xf numFmtId="0" fontId="2" fillId="21" borderId="11" xfId="0" applyFont="1" applyFill="1" applyBorder="1"/>
    <xf numFmtId="164" fontId="2" fillId="21" borderId="11" xfId="0" applyNumberFormat="1" applyFont="1" applyFill="1" applyBorder="1"/>
    <xf numFmtId="0" fontId="0" fillId="21" borderId="11" xfId="0" applyFill="1" applyBorder="1"/>
    <xf numFmtId="0" fontId="2" fillId="27" borderId="11" xfId="0" applyFont="1" applyFill="1" applyBorder="1"/>
    <xf numFmtId="164" fontId="2" fillId="27" borderId="11" xfId="0" applyNumberFormat="1" applyFont="1" applyFill="1" applyBorder="1"/>
    <xf numFmtId="0" fontId="0" fillId="27" borderId="11" xfId="0" applyFill="1" applyBorder="1"/>
    <xf numFmtId="2" fontId="1" fillId="0" borderId="11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2" fontId="2" fillId="21" borderId="11" xfId="0" applyNumberFormat="1" applyFont="1" applyFill="1" applyBorder="1" applyAlignment="1">
      <alignment horizontal="center"/>
    </xf>
    <xf numFmtId="164" fontId="2" fillId="21" borderId="11" xfId="0" applyNumberFormat="1" applyFont="1" applyFill="1" applyBorder="1" applyAlignment="1">
      <alignment horizontal="center"/>
    </xf>
    <xf numFmtId="3" fontId="2" fillId="21" borderId="11" xfId="0" applyNumberFormat="1" applyFont="1" applyFill="1" applyBorder="1" applyAlignment="1">
      <alignment horizontal="center"/>
    </xf>
    <xf numFmtId="0" fontId="2" fillId="21" borderId="11" xfId="0" applyFont="1" applyFill="1" applyBorder="1" applyAlignment="1">
      <alignment horizontal="left"/>
    </xf>
    <xf numFmtId="0" fontId="1" fillId="21" borderId="11" xfId="0" applyFont="1" applyFill="1" applyBorder="1" applyAlignment="1">
      <alignment horizontal="center"/>
    </xf>
    <xf numFmtId="3" fontId="1" fillId="21" borderId="11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4" fillId="22" borderId="12" xfId="0" applyFont="1" applyFill="1" applyBorder="1"/>
    <xf numFmtId="0" fontId="6" fillId="28" borderId="11" xfId="0" applyFont="1" applyFill="1" applyBorder="1"/>
    <xf numFmtId="0" fontId="6" fillId="28" borderId="11" xfId="0" applyFont="1" applyFill="1" applyBorder="1" applyAlignment="1">
      <alignment horizontal="center"/>
    </xf>
    <xf numFmtId="0" fontId="6" fillId="28" borderId="11" xfId="0" applyFont="1" applyFill="1" applyBorder="1" applyAlignment="1">
      <alignment horizontal="left"/>
    </xf>
    <xf numFmtId="0" fontId="6" fillId="29" borderId="4" xfId="0" applyFont="1" applyFill="1" applyBorder="1" applyAlignment="1">
      <alignment horizontal="left"/>
    </xf>
    <xf numFmtId="0" fontId="6" fillId="29" borderId="4" xfId="0" applyFont="1" applyFill="1" applyBorder="1" applyAlignment="1">
      <alignment horizontal="center"/>
    </xf>
    <xf numFmtId="166" fontId="2" fillId="21" borderId="11" xfId="0" applyNumberFormat="1" applyFont="1" applyFill="1" applyBorder="1" applyAlignment="1">
      <alignment horizontal="center"/>
    </xf>
    <xf numFmtId="166" fontId="1" fillId="21" borderId="11" xfId="0" applyNumberFormat="1" applyFont="1" applyFill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6" fillId="29" borderId="4" xfId="0" applyNumberFormat="1" applyFont="1" applyFill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6" fontId="6" fillId="28" borderId="11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abSelected="1" topLeftCell="A153" zoomScale="85" zoomScaleNormal="85" workbookViewId="0">
      <selection activeCell="A149" sqref="A149"/>
    </sheetView>
  </sheetViews>
  <sheetFormatPr defaultRowHeight="14.4" x14ac:dyDescent="0.3"/>
  <cols>
    <col min="1" max="1" width="40" customWidth="1"/>
    <col min="2" max="9" width="13" customWidth="1"/>
  </cols>
  <sheetData>
    <row r="1" spans="1:9" ht="16.2" customHeight="1" thickBot="1" x14ac:dyDescent="0.35">
      <c r="A1" s="14" t="s">
        <v>81</v>
      </c>
      <c r="B1" s="15"/>
      <c r="C1" s="15"/>
      <c r="D1" s="15"/>
      <c r="E1" s="15"/>
      <c r="F1" s="15"/>
      <c r="G1" s="15"/>
      <c r="H1" s="15"/>
      <c r="I1" s="39"/>
    </row>
    <row r="2" spans="1:9" x14ac:dyDescent="0.3">
      <c r="A2" s="1" t="s">
        <v>24</v>
      </c>
      <c r="B2" s="1" t="s">
        <v>25</v>
      </c>
      <c r="C2" s="1" t="s">
        <v>5</v>
      </c>
      <c r="D2" s="1" t="s">
        <v>6</v>
      </c>
      <c r="E2" s="1" t="s">
        <v>26</v>
      </c>
      <c r="F2" s="1" t="s">
        <v>27</v>
      </c>
      <c r="G2" s="1" t="s">
        <v>28</v>
      </c>
      <c r="H2" s="34" t="s">
        <v>29</v>
      </c>
      <c r="I2" s="33" t="s">
        <v>30</v>
      </c>
    </row>
    <row r="3" spans="1:9" x14ac:dyDescent="0.3">
      <c r="A3" s="3" t="s">
        <v>31</v>
      </c>
      <c r="B3" s="6">
        <v>0.2031</v>
      </c>
      <c r="C3" s="4">
        <v>0.1545</v>
      </c>
      <c r="D3" s="4">
        <v>0.29649999999999999</v>
      </c>
      <c r="E3" s="7">
        <v>85.1</v>
      </c>
      <c r="F3" s="7">
        <v>465.9</v>
      </c>
      <c r="G3" s="8">
        <v>202</v>
      </c>
      <c r="H3" s="36">
        <v>287.10000000000002</v>
      </c>
      <c r="I3" s="37">
        <v>551</v>
      </c>
    </row>
    <row r="4" spans="1:9" x14ac:dyDescent="0.3">
      <c r="A4" s="3" t="s">
        <v>32</v>
      </c>
      <c r="B4" s="9">
        <v>5.0099999999999999E-2</v>
      </c>
      <c r="C4" s="4">
        <v>2.63E-2</v>
      </c>
      <c r="D4" s="4">
        <v>0.504</v>
      </c>
      <c r="E4" s="7">
        <v>113.8</v>
      </c>
      <c r="F4" s="7">
        <v>4206.2</v>
      </c>
      <c r="G4" s="8">
        <v>112</v>
      </c>
      <c r="H4" s="36">
        <v>225.8</v>
      </c>
      <c r="I4" s="37">
        <v>4320</v>
      </c>
    </row>
    <row r="5" spans="1:9" x14ac:dyDescent="0.3">
      <c r="A5" s="3" t="s">
        <v>33</v>
      </c>
      <c r="B5" s="6">
        <v>0.1162</v>
      </c>
      <c r="C5" s="4">
        <v>6.8099999999999994E-2</v>
      </c>
      <c r="D5" s="4">
        <v>0.39529999999999998</v>
      </c>
      <c r="E5" s="7">
        <v>74.5</v>
      </c>
      <c r="F5" s="7">
        <v>1019.5</v>
      </c>
      <c r="G5" s="8">
        <v>114</v>
      </c>
      <c r="H5" s="36">
        <v>188.5</v>
      </c>
      <c r="I5" s="37">
        <v>1094</v>
      </c>
    </row>
    <row r="6" spans="1:9" x14ac:dyDescent="0.3">
      <c r="A6" s="3" t="s">
        <v>34</v>
      </c>
      <c r="B6" s="6">
        <v>0.18970000000000001</v>
      </c>
      <c r="C6" s="4">
        <v>0.13389999999999999</v>
      </c>
      <c r="D6" s="4">
        <v>0.32479999999999998</v>
      </c>
      <c r="E6" s="7">
        <v>39</v>
      </c>
      <c r="F6" s="7">
        <v>252</v>
      </c>
      <c r="G6" s="8">
        <v>81</v>
      </c>
      <c r="H6" s="36">
        <v>120</v>
      </c>
      <c r="I6" s="37">
        <v>291</v>
      </c>
    </row>
    <row r="7" spans="1:9" x14ac:dyDescent="0.3">
      <c r="A7" s="3" t="s">
        <v>35</v>
      </c>
      <c r="B7" s="6">
        <v>2.3800000000000002E-2</v>
      </c>
      <c r="C7" s="4">
        <v>2.5600000000000001E-2</v>
      </c>
      <c r="D7" s="4">
        <v>2.23E-2</v>
      </c>
      <c r="E7" s="7">
        <v>2.4</v>
      </c>
      <c r="F7" s="7">
        <v>89.6</v>
      </c>
      <c r="G7" s="8">
        <v>103</v>
      </c>
      <c r="H7" s="36">
        <v>105.4</v>
      </c>
      <c r="I7" s="37">
        <v>92</v>
      </c>
    </row>
    <row r="8" spans="1:9" x14ac:dyDescent="0.3">
      <c r="A8" s="3" t="s">
        <v>36</v>
      </c>
      <c r="B8" s="4">
        <v>0.13919999999999999</v>
      </c>
      <c r="C8" s="4">
        <v>8.4000000000000005E-2</v>
      </c>
      <c r="D8" s="4">
        <v>0.40589999999999998</v>
      </c>
      <c r="E8" s="7">
        <v>42.4</v>
      </c>
      <c r="F8" s="7">
        <v>461.6</v>
      </c>
      <c r="G8" s="8">
        <v>62</v>
      </c>
      <c r="H8" s="36">
        <v>104.4</v>
      </c>
      <c r="I8" s="37">
        <v>504</v>
      </c>
    </row>
    <row r="9" spans="1:9" x14ac:dyDescent="0.3">
      <c r="A9" s="3" t="s">
        <v>37</v>
      </c>
      <c r="B9" s="9">
        <v>5.4300000000000001E-2</v>
      </c>
      <c r="C9" s="4">
        <v>2.8799999999999999E-2</v>
      </c>
      <c r="D9" s="4">
        <v>0.48509999999999998</v>
      </c>
      <c r="E9" s="7">
        <v>43.3</v>
      </c>
      <c r="F9" s="7">
        <v>1462.7</v>
      </c>
      <c r="G9" s="8">
        <v>46</v>
      </c>
      <c r="H9" s="36">
        <v>89.3</v>
      </c>
      <c r="I9" s="37">
        <v>1506</v>
      </c>
    </row>
    <row r="10" spans="1:9" x14ac:dyDescent="0.3">
      <c r="A10" s="3" t="s">
        <v>38</v>
      </c>
      <c r="B10" s="6">
        <v>0.1341</v>
      </c>
      <c r="C10" s="4">
        <v>0.1013</v>
      </c>
      <c r="D10" s="4">
        <v>0.19839999999999999</v>
      </c>
      <c r="E10" s="7">
        <v>11.1</v>
      </c>
      <c r="F10" s="7">
        <v>98.9</v>
      </c>
      <c r="G10" s="8">
        <v>45</v>
      </c>
      <c r="H10" s="36">
        <v>56.1</v>
      </c>
      <c r="I10" s="37">
        <v>110</v>
      </c>
    </row>
    <row r="11" spans="1:9" x14ac:dyDescent="0.3">
      <c r="A11" s="3" t="s">
        <v>39</v>
      </c>
      <c r="B11" s="6">
        <v>0.19700000000000001</v>
      </c>
      <c r="C11" s="4">
        <v>0.1535</v>
      </c>
      <c r="D11" s="4">
        <v>0.27500000000000002</v>
      </c>
      <c r="E11" s="7">
        <v>12.9</v>
      </c>
      <c r="F11" s="7">
        <v>71.099999999999994</v>
      </c>
      <c r="G11" s="8">
        <v>34</v>
      </c>
      <c r="H11" s="36">
        <v>46.9</v>
      </c>
      <c r="I11" s="37">
        <v>84</v>
      </c>
    </row>
    <row r="12" spans="1:9" x14ac:dyDescent="0.3">
      <c r="A12" s="3" t="s">
        <v>40</v>
      </c>
      <c r="B12" s="6">
        <v>0.12130000000000001</v>
      </c>
      <c r="C12" s="4">
        <v>7.9699999999999993E-2</v>
      </c>
      <c r="D12" s="4">
        <v>0.25359999999999999</v>
      </c>
      <c r="E12" s="7">
        <v>11.6</v>
      </c>
      <c r="F12" s="7">
        <v>133.4</v>
      </c>
      <c r="G12" s="8">
        <v>34</v>
      </c>
      <c r="H12" s="36">
        <v>45.6</v>
      </c>
      <c r="I12" s="37">
        <v>145</v>
      </c>
    </row>
    <row r="13" spans="1:9" x14ac:dyDescent="0.3">
      <c r="A13" s="3" t="s">
        <v>41</v>
      </c>
      <c r="B13" s="4">
        <v>3.2500000000000001E-2</v>
      </c>
      <c r="C13" s="4">
        <v>1.78E-2</v>
      </c>
      <c r="D13" s="4">
        <v>0.188</v>
      </c>
      <c r="E13" s="7">
        <v>8.1</v>
      </c>
      <c r="F13" s="7">
        <v>446.9</v>
      </c>
      <c r="G13" s="8">
        <v>35</v>
      </c>
      <c r="H13" s="36">
        <v>43.1</v>
      </c>
      <c r="I13" s="37">
        <v>455</v>
      </c>
    </row>
    <row r="14" spans="1:9" x14ac:dyDescent="0.3">
      <c r="A14" s="3" t="s">
        <v>42</v>
      </c>
      <c r="B14" s="6">
        <v>8.2900000000000001E-2</v>
      </c>
      <c r="C14" s="4">
        <v>4.82E-2</v>
      </c>
      <c r="D14" s="4">
        <v>0.29720000000000002</v>
      </c>
      <c r="E14" s="7">
        <v>11.4</v>
      </c>
      <c r="F14" s="7">
        <v>225.6</v>
      </c>
      <c r="G14" s="8">
        <v>27</v>
      </c>
      <c r="H14" s="36">
        <v>38.4</v>
      </c>
      <c r="I14" s="37">
        <v>237</v>
      </c>
    </row>
    <row r="15" spans="1:9" x14ac:dyDescent="0.3">
      <c r="A15" s="3" t="s">
        <v>43</v>
      </c>
      <c r="B15" s="9">
        <v>4.82E-2</v>
      </c>
      <c r="C15" s="4">
        <v>2.7699999999999999E-2</v>
      </c>
      <c r="D15" s="4">
        <v>0.18390000000000001</v>
      </c>
      <c r="E15" s="7">
        <v>6.8</v>
      </c>
      <c r="F15" s="7">
        <v>237.2</v>
      </c>
      <c r="G15" s="8">
        <v>30</v>
      </c>
      <c r="H15" s="36">
        <v>36.799999999999997</v>
      </c>
      <c r="I15" s="37">
        <v>244</v>
      </c>
    </row>
    <row r="16" spans="1:9" x14ac:dyDescent="0.3">
      <c r="A16" s="3" t="s">
        <v>44</v>
      </c>
      <c r="B16" s="9">
        <v>6.2199999999999998E-2</v>
      </c>
      <c r="C16" s="4">
        <v>3.9199999999999999E-2</v>
      </c>
      <c r="D16" s="4">
        <v>0.15060000000000001</v>
      </c>
      <c r="E16" s="7">
        <v>4.8</v>
      </c>
      <c r="F16" s="7">
        <v>117.2</v>
      </c>
      <c r="G16" s="8">
        <v>27</v>
      </c>
      <c r="H16" s="36">
        <v>31.8</v>
      </c>
      <c r="I16" s="37">
        <v>122</v>
      </c>
    </row>
    <row r="17" spans="1:9" x14ac:dyDescent="0.3">
      <c r="A17" s="3" t="s">
        <v>45</v>
      </c>
      <c r="B17" s="6">
        <v>7.3300000000000004E-2</v>
      </c>
      <c r="C17" s="4">
        <v>4.4900000000000002E-2</v>
      </c>
      <c r="D17" s="4">
        <v>0.19950000000000001</v>
      </c>
      <c r="E17" s="7">
        <v>5</v>
      </c>
      <c r="F17" s="7">
        <v>106</v>
      </c>
      <c r="G17" s="8">
        <v>20</v>
      </c>
      <c r="H17" s="36">
        <v>25</v>
      </c>
      <c r="I17" s="37">
        <v>111</v>
      </c>
    </row>
    <row r="18" spans="1:9" x14ac:dyDescent="0.3">
      <c r="A18" s="3" t="s">
        <v>46</v>
      </c>
      <c r="B18" s="9">
        <v>4.8800000000000003E-2</v>
      </c>
      <c r="C18" s="4">
        <v>2.75E-2</v>
      </c>
      <c r="D18" s="4">
        <v>0.21859999999999999</v>
      </c>
      <c r="E18" s="7">
        <v>3.1</v>
      </c>
      <c r="F18" s="7">
        <v>108.9</v>
      </c>
      <c r="G18" s="8">
        <v>11</v>
      </c>
      <c r="H18" s="36">
        <v>14.1</v>
      </c>
      <c r="I18" s="37">
        <v>112</v>
      </c>
    </row>
    <row r="19" spans="1:9" x14ac:dyDescent="0.3">
      <c r="A19" s="3" t="s">
        <v>47</v>
      </c>
      <c r="B19" s="6">
        <v>2.3400000000000001E-2</v>
      </c>
      <c r="C19" s="4">
        <v>1.3899999999999999E-2</v>
      </c>
      <c r="D19" s="4">
        <v>7.4899999999999994E-2</v>
      </c>
      <c r="E19" s="7">
        <v>1.1000000000000001</v>
      </c>
      <c r="F19" s="7">
        <v>74.900000000000006</v>
      </c>
      <c r="G19" s="8">
        <v>13</v>
      </c>
      <c r="H19" s="36">
        <v>14.1</v>
      </c>
      <c r="I19" s="37">
        <v>76</v>
      </c>
    </row>
    <row r="20" spans="1:9" x14ac:dyDescent="0.3">
      <c r="A20" s="3" t="s">
        <v>48</v>
      </c>
      <c r="B20" s="4">
        <v>5.8900000000000001E-2</v>
      </c>
      <c r="C20" s="4">
        <v>3.3000000000000002E-2</v>
      </c>
      <c r="D20" s="4">
        <v>0.27829999999999999</v>
      </c>
      <c r="E20" s="7">
        <v>3.9</v>
      </c>
      <c r="F20" s="7">
        <v>113.1</v>
      </c>
      <c r="G20" s="8">
        <v>10</v>
      </c>
      <c r="H20" s="36">
        <v>13.9</v>
      </c>
      <c r="I20" s="37">
        <v>117</v>
      </c>
    </row>
    <row r="21" spans="1:9" x14ac:dyDescent="0.3">
      <c r="A21" s="3" t="s">
        <v>49</v>
      </c>
      <c r="B21" s="9">
        <v>1.32E-2</v>
      </c>
      <c r="C21" s="4">
        <v>7.7000000000000002E-3</v>
      </c>
      <c r="D21" s="4">
        <v>4.6899999999999997E-2</v>
      </c>
      <c r="E21" s="7">
        <v>0.4</v>
      </c>
      <c r="F21" s="7">
        <v>50.6</v>
      </c>
      <c r="G21" s="8">
        <v>8</v>
      </c>
      <c r="H21" s="36">
        <v>8.4</v>
      </c>
      <c r="I21" s="37">
        <v>51</v>
      </c>
    </row>
    <row r="22" spans="1:9" x14ac:dyDescent="0.3">
      <c r="A22" s="3" t="s">
        <v>50</v>
      </c>
      <c r="B22" s="4">
        <v>0</v>
      </c>
      <c r="C22" s="4">
        <v>0</v>
      </c>
      <c r="D22" s="4">
        <v>0</v>
      </c>
      <c r="E22" s="7">
        <v>0</v>
      </c>
      <c r="F22" s="7">
        <v>22</v>
      </c>
      <c r="G22" s="8">
        <v>8</v>
      </c>
      <c r="H22" s="36">
        <v>8</v>
      </c>
      <c r="I22" s="37">
        <v>22</v>
      </c>
    </row>
    <row r="23" spans="1:9" x14ac:dyDescent="0.3">
      <c r="A23" s="3" t="s">
        <v>51</v>
      </c>
      <c r="B23" s="10">
        <v>4.24E-2</v>
      </c>
      <c r="C23" s="4">
        <v>2.1999999999999999E-2</v>
      </c>
      <c r="D23" s="4">
        <v>0.57730000000000004</v>
      </c>
      <c r="E23" s="7">
        <v>4.0999999999999996</v>
      </c>
      <c r="F23" s="7">
        <v>181.9</v>
      </c>
      <c r="G23" s="8">
        <v>3</v>
      </c>
      <c r="H23" s="36">
        <v>7.1</v>
      </c>
      <c r="I23" s="37">
        <v>186</v>
      </c>
    </row>
    <row r="24" spans="1:9" x14ac:dyDescent="0.3">
      <c r="A24" s="3" t="s">
        <v>52</v>
      </c>
      <c r="B24" s="4">
        <v>0</v>
      </c>
      <c r="C24" s="4">
        <v>0</v>
      </c>
      <c r="D24" s="4">
        <v>0</v>
      </c>
      <c r="E24" s="7">
        <v>0</v>
      </c>
      <c r="F24" s="7">
        <v>58</v>
      </c>
      <c r="G24" s="8">
        <v>6</v>
      </c>
      <c r="H24" s="36">
        <v>6</v>
      </c>
      <c r="I24" s="37">
        <v>58</v>
      </c>
    </row>
    <row r="25" spans="1:9" x14ac:dyDescent="0.3">
      <c r="A25" s="3" t="s">
        <v>53</v>
      </c>
      <c r="B25" s="10">
        <v>0</v>
      </c>
      <c r="C25" s="4">
        <v>0</v>
      </c>
      <c r="D25" s="4">
        <v>0</v>
      </c>
      <c r="E25" s="7">
        <v>0</v>
      </c>
      <c r="F25" s="7">
        <v>26</v>
      </c>
      <c r="G25" s="8">
        <v>3</v>
      </c>
      <c r="H25" s="36">
        <v>3</v>
      </c>
      <c r="I25" s="37">
        <v>26</v>
      </c>
    </row>
    <row r="26" spans="1:9" x14ac:dyDescent="0.3">
      <c r="G26" s="44"/>
      <c r="H26" s="44"/>
      <c r="I26" s="44"/>
    </row>
    <row r="27" spans="1:9" x14ac:dyDescent="0.3">
      <c r="A27" s="11" t="s">
        <v>54</v>
      </c>
      <c r="B27" s="13">
        <v>8.0500000000000002E-2</v>
      </c>
      <c r="C27" s="13">
        <v>4.6100000000000002E-2</v>
      </c>
      <c r="D27" s="40">
        <v>0.31909999999999999</v>
      </c>
      <c r="E27" s="42">
        <f>SUM(E3:E25)</f>
        <v>484.8</v>
      </c>
      <c r="F27" s="42">
        <f>SUM(F3:F25)</f>
        <v>10029.200000000001</v>
      </c>
      <c r="G27" s="45">
        <f>SUM(G3:G25)</f>
        <v>1034</v>
      </c>
      <c r="H27" s="45">
        <f>SUM(H3:H25)</f>
        <v>1518.7999999999997</v>
      </c>
      <c r="I27" s="46">
        <f>SUM(I3:I25)</f>
        <v>10514</v>
      </c>
    </row>
    <row r="28" spans="1:9" x14ac:dyDescent="0.3">
      <c r="A28" s="11" t="s">
        <v>55</v>
      </c>
      <c r="B28" s="13">
        <v>7.46E-2</v>
      </c>
      <c r="C28" s="12"/>
      <c r="D28" s="12"/>
      <c r="E28" s="41"/>
      <c r="F28" s="41"/>
      <c r="G28" s="41"/>
      <c r="H28" s="43"/>
      <c r="I28" s="38"/>
    </row>
    <row r="31" spans="1:9" ht="16.2" customHeight="1" thickBot="1" x14ac:dyDescent="0.35">
      <c r="A31" s="14" t="s">
        <v>82</v>
      </c>
      <c r="B31" s="15"/>
      <c r="C31" s="15"/>
      <c r="D31" s="15"/>
      <c r="E31" s="15"/>
      <c r="F31" s="15"/>
      <c r="G31" s="15"/>
      <c r="H31" s="15"/>
      <c r="I31" s="39"/>
    </row>
    <row r="32" spans="1:9" x14ac:dyDescent="0.3">
      <c r="A32" s="1" t="s">
        <v>24</v>
      </c>
      <c r="B32" s="1" t="s">
        <v>25</v>
      </c>
      <c r="C32" s="1" t="s">
        <v>5</v>
      </c>
      <c r="D32" s="1" t="s">
        <v>6</v>
      </c>
      <c r="E32" s="1" t="s">
        <v>26</v>
      </c>
      <c r="F32" s="1" t="s">
        <v>27</v>
      </c>
      <c r="G32" s="1" t="s">
        <v>28</v>
      </c>
      <c r="H32" s="34" t="s">
        <v>29</v>
      </c>
      <c r="I32" s="33" t="s">
        <v>30</v>
      </c>
    </row>
    <row r="33" spans="1:9" x14ac:dyDescent="0.3">
      <c r="A33" s="3" t="s">
        <v>31</v>
      </c>
      <c r="B33" s="6">
        <v>0.1673</v>
      </c>
      <c r="C33" s="4">
        <v>0.1125</v>
      </c>
      <c r="D33" s="4">
        <v>0.32679999999999998</v>
      </c>
      <c r="E33" s="7">
        <v>87.4</v>
      </c>
      <c r="F33" s="7">
        <v>689.6</v>
      </c>
      <c r="G33" s="8">
        <v>180</v>
      </c>
      <c r="H33" s="36">
        <v>267.39999999999998</v>
      </c>
      <c r="I33" s="35">
        <v>777</v>
      </c>
    </row>
    <row r="34" spans="1:9" x14ac:dyDescent="0.3">
      <c r="A34" s="3" t="s">
        <v>32</v>
      </c>
      <c r="B34" s="9">
        <v>7.3700000000000002E-2</v>
      </c>
      <c r="C34" s="4">
        <v>4.1099999999999998E-2</v>
      </c>
      <c r="D34" s="4">
        <v>0.3579</v>
      </c>
      <c r="E34" s="7">
        <v>83.6</v>
      </c>
      <c r="F34" s="7">
        <v>1950.4</v>
      </c>
      <c r="G34" s="8">
        <v>150</v>
      </c>
      <c r="H34" s="36">
        <v>233.6</v>
      </c>
      <c r="I34" s="35">
        <v>2034</v>
      </c>
    </row>
    <row r="35" spans="1:9" x14ac:dyDescent="0.3">
      <c r="A35" s="3" t="s">
        <v>33</v>
      </c>
      <c r="B35" s="6">
        <v>0.11700000000000001</v>
      </c>
      <c r="C35" s="4">
        <v>6.9900000000000004E-2</v>
      </c>
      <c r="D35" s="4">
        <v>0.35899999999999999</v>
      </c>
      <c r="E35" s="7">
        <v>68.900000000000006</v>
      </c>
      <c r="F35" s="7">
        <v>916.1</v>
      </c>
      <c r="G35" s="8">
        <v>123</v>
      </c>
      <c r="H35" s="36">
        <v>191.9</v>
      </c>
      <c r="I35" s="35">
        <v>985</v>
      </c>
    </row>
    <row r="36" spans="1:9" x14ac:dyDescent="0.3">
      <c r="A36" s="3" t="s">
        <v>34</v>
      </c>
      <c r="B36" s="9">
        <v>0.1633</v>
      </c>
      <c r="C36" s="4">
        <v>0.1047</v>
      </c>
      <c r="D36" s="4">
        <v>0.371</v>
      </c>
      <c r="E36" s="7">
        <v>43.6</v>
      </c>
      <c r="F36" s="7">
        <v>373.4</v>
      </c>
      <c r="G36" s="8">
        <v>74</v>
      </c>
      <c r="H36" s="36">
        <v>117.6</v>
      </c>
      <c r="I36" s="35">
        <v>417</v>
      </c>
    </row>
    <row r="37" spans="1:9" x14ac:dyDescent="0.3">
      <c r="A37" s="3" t="s">
        <v>36</v>
      </c>
      <c r="B37" s="6">
        <v>0.1157</v>
      </c>
      <c r="C37" s="4">
        <v>6.83E-2</v>
      </c>
      <c r="D37" s="4">
        <v>0.37830000000000003</v>
      </c>
      <c r="E37" s="7">
        <v>39.6</v>
      </c>
      <c r="F37" s="7">
        <v>539.4</v>
      </c>
      <c r="G37" s="8">
        <v>65</v>
      </c>
      <c r="H37" s="36">
        <v>104.6</v>
      </c>
      <c r="I37" s="35">
        <v>579</v>
      </c>
    </row>
    <row r="38" spans="1:9" x14ac:dyDescent="0.3">
      <c r="A38" s="3" t="s">
        <v>35</v>
      </c>
      <c r="B38" s="4">
        <v>8.8000000000000005E-3</v>
      </c>
      <c r="C38" s="4">
        <v>5.4000000000000003E-3</v>
      </c>
      <c r="D38" s="4">
        <v>2.3900000000000001E-2</v>
      </c>
      <c r="E38" s="7">
        <v>2.5</v>
      </c>
      <c r="F38" s="7">
        <v>457.5</v>
      </c>
      <c r="G38" s="8">
        <v>102</v>
      </c>
      <c r="H38" s="36">
        <v>104.5</v>
      </c>
      <c r="I38" s="35">
        <v>460</v>
      </c>
    </row>
    <row r="39" spans="1:9" x14ac:dyDescent="0.3">
      <c r="A39" s="3" t="s">
        <v>37</v>
      </c>
      <c r="B39" s="9">
        <v>5.4600000000000003E-2</v>
      </c>
      <c r="C39" s="4">
        <v>2.9600000000000001E-2</v>
      </c>
      <c r="D39" s="4">
        <v>0.35289999999999999</v>
      </c>
      <c r="E39" s="7">
        <v>30</v>
      </c>
      <c r="F39" s="7">
        <v>983</v>
      </c>
      <c r="G39" s="8">
        <v>55</v>
      </c>
      <c r="H39" s="36">
        <v>85</v>
      </c>
      <c r="I39" s="35">
        <v>1013</v>
      </c>
    </row>
    <row r="40" spans="1:9" x14ac:dyDescent="0.3">
      <c r="A40" s="3" t="s">
        <v>38</v>
      </c>
      <c r="B40" s="9">
        <v>0.1288</v>
      </c>
      <c r="C40" s="4">
        <v>9.1600000000000001E-2</v>
      </c>
      <c r="D40" s="4">
        <v>0.21690000000000001</v>
      </c>
      <c r="E40" s="7">
        <v>11.9</v>
      </c>
      <c r="F40" s="7">
        <v>118.1</v>
      </c>
      <c r="G40" s="8">
        <v>43</v>
      </c>
      <c r="H40" s="36">
        <v>54.9</v>
      </c>
      <c r="I40" s="35">
        <v>130</v>
      </c>
    </row>
    <row r="41" spans="1:9" x14ac:dyDescent="0.3">
      <c r="A41" s="3" t="s">
        <v>39</v>
      </c>
      <c r="B41" s="4">
        <v>4.41E-2</v>
      </c>
      <c r="C41" s="4">
        <v>4.0599999999999997E-2</v>
      </c>
      <c r="D41" s="4">
        <v>4.8300000000000003E-2</v>
      </c>
      <c r="E41" s="7">
        <v>2.4</v>
      </c>
      <c r="F41" s="7">
        <v>57.6</v>
      </c>
      <c r="G41" s="8">
        <v>48</v>
      </c>
      <c r="H41" s="36">
        <v>50.4</v>
      </c>
      <c r="I41" s="35">
        <v>60</v>
      </c>
    </row>
    <row r="42" spans="1:9" x14ac:dyDescent="0.3">
      <c r="A42" s="3" t="s">
        <v>40</v>
      </c>
      <c r="B42" s="6">
        <v>0.13270000000000001</v>
      </c>
      <c r="C42" s="4">
        <v>8.1199999999999994E-2</v>
      </c>
      <c r="D42" s="4">
        <v>0.3634</v>
      </c>
      <c r="E42" s="7">
        <v>17.100000000000001</v>
      </c>
      <c r="F42" s="7">
        <v>193.9</v>
      </c>
      <c r="G42" s="8">
        <v>30</v>
      </c>
      <c r="H42" s="36">
        <v>47.1</v>
      </c>
      <c r="I42" s="35">
        <v>211</v>
      </c>
    </row>
    <row r="43" spans="1:9" x14ac:dyDescent="0.3">
      <c r="A43" s="3" t="s">
        <v>41</v>
      </c>
      <c r="B43" s="4">
        <v>3.6400000000000002E-2</v>
      </c>
      <c r="C43" s="4">
        <v>2.0400000000000001E-2</v>
      </c>
      <c r="D43" s="4">
        <v>0.16719999999999999</v>
      </c>
      <c r="E43" s="7">
        <v>7</v>
      </c>
      <c r="F43" s="7">
        <v>337</v>
      </c>
      <c r="G43" s="8">
        <v>35</v>
      </c>
      <c r="H43" s="36">
        <v>42</v>
      </c>
      <c r="I43" s="35">
        <v>344</v>
      </c>
    </row>
    <row r="44" spans="1:9" x14ac:dyDescent="0.3">
      <c r="A44" s="3" t="s">
        <v>42</v>
      </c>
      <c r="B44" s="9">
        <v>3.3799999999999997E-2</v>
      </c>
      <c r="C44" s="4">
        <v>1.8200000000000001E-2</v>
      </c>
      <c r="D44" s="4">
        <v>0.24629999999999999</v>
      </c>
      <c r="E44" s="7">
        <v>8.5</v>
      </c>
      <c r="F44" s="7">
        <v>459.5</v>
      </c>
      <c r="G44" s="8">
        <v>26</v>
      </c>
      <c r="H44" s="36">
        <v>34.5</v>
      </c>
      <c r="I44" s="35">
        <v>468</v>
      </c>
    </row>
    <row r="45" spans="1:9" x14ac:dyDescent="0.3">
      <c r="A45" s="3" t="s">
        <v>44</v>
      </c>
      <c r="B45" s="6">
        <v>5.67E-2</v>
      </c>
      <c r="C45" s="4">
        <v>3.5200000000000002E-2</v>
      </c>
      <c r="D45" s="4">
        <v>0.1469</v>
      </c>
      <c r="E45" s="7">
        <v>5</v>
      </c>
      <c r="F45" s="7">
        <v>137</v>
      </c>
      <c r="G45" s="8">
        <v>29</v>
      </c>
      <c r="H45" s="36">
        <v>34</v>
      </c>
      <c r="I45" s="35">
        <v>142</v>
      </c>
    </row>
    <row r="46" spans="1:9" x14ac:dyDescent="0.3">
      <c r="A46" s="3" t="s">
        <v>43</v>
      </c>
      <c r="B46" s="9">
        <v>4.9299999999999997E-2</v>
      </c>
      <c r="C46" s="4">
        <v>2.6800000000000001E-2</v>
      </c>
      <c r="D46" s="4">
        <v>0.3019</v>
      </c>
      <c r="E46" s="7">
        <v>9.9</v>
      </c>
      <c r="F46" s="7">
        <v>361.1</v>
      </c>
      <c r="G46" s="8">
        <v>23</v>
      </c>
      <c r="H46" s="36">
        <v>32.9</v>
      </c>
      <c r="I46" s="35">
        <v>371</v>
      </c>
    </row>
    <row r="47" spans="1:9" x14ac:dyDescent="0.3">
      <c r="A47" s="3" t="s">
        <v>45</v>
      </c>
      <c r="B47" s="9">
        <v>0.1076</v>
      </c>
      <c r="C47" s="4">
        <v>6.6400000000000001E-2</v>
      </c>
      <c r="D47" s="4">
        <v>0.2848</v>
      </c>
      <c r="E47" s="7">
        <v>7.2</v>
      </c>
      <c r="F47" s="7">
        <v>100.8</v>
      </c>
      <c r="G47" s="8">
        <v>18</v>
      </c>
      <c r="H47" s="36">
        <v>25.2</v>
      </c>
      <c r="I47" s="35">
        <v>108</v>
      </c>
    </row>
    <row r="48" spans="1:9" x14ac:dyDescent="0.3">
      <c r="A48" s="3" t="s">
        <v>46</v>
      </c>
      <c r="B48" s="4">
        <v>5.5399999999999998E-2</v>
      </c>
      <c r="C48" s="4">
        <v>2.98E-2</v>
      </c>
      <c r="D48" s="4">
        <v>0.4027</v>
      </c>
      <c r="E48" s="7">
        <v>6.1</v>
      </c>
      <c r="F48" s="7">
        <v>197.9</v>
      </c>
      <c r="G48" s="8">
        <v>9</v>
      </c>
      <c r="H48" s="36">
        <v>15.1</v>
      </c>
      <c r="I48" s="35">
        <v>204</v>
      </c>
    </row>
    <row r="49" spans="1:9" x14ac:dyDescent="0.3">
      <c r="A49" s="3" t="s">
        <v>48</v>
      </c>
      <c r="B49" s="9">
        <v>5.0299999999999997E-2</v>
      </c>
      <c r="C49" s="4">
        <v>2.7E-2</v>
      </c>
      <c r="D49" s="4">
        <v>0.36680000000000001</v>
      </c>
      <c r="E49" s="7">
        <v>5.2</v>
      </c>
      <c r="F49" s="7">
        <v>187.8</v>
      </c>
      <c r="G49" s="8">
        <v>9</v>
      </c>
      <c r="H49" s="36">
        <v>14.2</v>
      </c>
      <c r="I49" s="35">
        <v>193</v>
      </c>
    </row>
    <row r="50" spans="1:9" x14ac:dyDescent="0.3">
      <c r="A50" s="3" t="s">
        <v>47</v>
      </c>
      <c r="B50" s="4">
        <v>8.5000000000000006E-3</v>
      </c>
      <c r="C50" s="4">
        <v>4.7000000000000002E-3</v>
      </c>
      <c r="D50" s="4">
        <v>4.5600000000000002E-2</v>
      </c>
      <c r="E50" s="7">
        <v>0.6</v>
      </c>
      <c r="F50" s="7">
        <v>131.4</v>
      </c>
      <c r="G50" s="8">
        <v>13</v>
      </c>
      <c r="H50" s="36">
        <v>13.6</v>
      </c>
      <c r="I50" s="35">
        <v>132</v>
      </c>
    </row>
    <row r="51" spans="1:9" x14ac:dyDescent="0.3">
      <c r="A51" s="3" t="s">
        <v>49</v>
      </c>
      <c r="B51" s="4">
        <v>0</v>
      </c>
      <c r="C51" s="4">
        <v>0</v>
      </c>
      <c r="D51" s="4">
        <v>0</v>
      </c>
      <c r="E51" s="7">
        <v>0</v>
      </c>
      <c r="F51" s="7">
        <v>62</v>
      </c>
      <c r="G51" s="8">
        <v>10</v>
      </c>
      <c r="H51" s="36">
        <v>10</v>
      </c>
      <c r="I51" s="35">
        <v>62</v>
      </c>
    </row>
    <row r="52" spans="1:9" x14ac:dyDescent="0.3">
      <c r="A52" s="3" t="s">
        <v>51</v>
      </c>
      <c r="B52" s="4">
        <v>2.3699999999999999E-2</v>
      </c>
      <c r="C52" s="4">
        <v>1.2200000000000001E-2</v>
      </c>
      <c r="D52" s="4">
        <v>0.3458</v>
      </c>
      <c r="E52" s="7">
        <v>3.2</v>
      </c>
      <c r="F52" s="7">
        <v>255.8</v>
      </c>
      <c r="G52" s="8">
        <v>6</v>
      </c>
      <c r="H52" s="36">
        <v>9.1999999999999993</v>
      </c>
      <c r="I52" s="35">
        <v>259</v>
      </c>
    </row>
    <row r="53" spans="1:9" x14ac:dyDescent="0.3">
      <c r="A53" s="3" t="s">
        <v>50</v>
      </c>
      <c r="B53" s="4">
        <v>0</v>
      </c>
      <c r="C53" s="4">
        <v>0</v>
      </c>
      <c r="D53" s="4">
        <v>0</v>
      </c>
      <c r="E53" s="7">
        <v>0</v>
      </c>
      <c r="F53" s="7">
        <v>24</v>
      </c>
      <c r="G53" s="8">
        <v>8</v>
      </c>
      <c r="H53" s="36">
        <v>8</v>
      </c>
      <c r="I53" s="35">
        <v>24</v>
      </c>
    </row>
    <row r="54" spans="1:9" x14ac:dyDescent="0.3">
      <c r="A54" s="3" t="s">
        <v>52</v>
      </c>
      <c r="B54" s="4">
        <v>0</v>
      </c>
      <c r="C54" s="4">
        <v>0</v>
      </c>
      <c r="D54" s="4">
        <v>0</v>
      </c>
      <c r="E54" s="7">
        <v>0</v>
      </c>
      <c r="F54" s="7">
        <v>215</v>
      </c>
      <c r="G54" s="8">
        <v>6</v>
      </c>
      <c r="H54" s="36">
        <v>6</v>
      </c>
      <c r="I54" s="35">
        <v>215</v>
      </c>
    </row>
    <row r="55" spans="1:9" x14ac:dyDescent="0.3">
      <c r="A55" s="3" t="s">
        <v>53</v>
      </c>
      <c r="B55" s="10">
        <v>0</v>
      </c>
      <c r="C55" s="4">
        <v>0</v>
      </c>
      <c r="D55" s="4">
        <v>0</v>
      </c>
      <c r="E55" s="7">
        <v>0</v>
      </c>
      <c r="F55" s="7">
        <v>13</v>
      </c>
      <c r="G55" s="8">
        <v>3</v>
      </c>
      <c r="H55" s="36">
        <v>3</v>
      </c>
      <c r="I55" s="37">
        <v>13</v>
      </c>
    </row>
    <row r="56" spans="1:9" x14ac:dyDescent="0.3">
      <c r="G56" s="44"/>
      <c r="H56" s="44"/>
      <c r="I56" s="44"/>
    </row>
    <row r="57" spans="1:9" x14ac:dyDescent="0.3">
      <c r="A57" s="11" t="s">
        <v>54</v>
      </c>
      <c r="B57" s="13">
        <v>8.2100000000000006E-2</v>
      </c>
      <c r="C57" s="13">
        <v>4.7800000000000002E-2</v>
      </c>
      <c r="D57" s="40">
        <v>0.29220000000000002</v>
      </c>
      <c r="E57" s="42">
        <f>SUM(E33:E55)</f>
        <v>439.7</v>
      </c>
      <c r="F57" s="42">
        <f>SUM(F33:F55)</f>
        <v>8761.2999999999993</v>
      </c>
      <c r="G57" s="45">
        <f>SUM(G33:G55)</f>
        <v>1065</v>
      </c>
      <c r="H57" s="45">
        <f>SUM(H33:H55)</f>
        <v>1504.7</v>
      </c>
      <c r="I57" s="46">
        <f>SUM(I33:I55)</f>
        <v>9201</v>
      </c>
    </row>
    <row r="58" spans="1:9" x14ac:dyDescent="0.3">
      <c r="A58" s="11" t="s">
        <v>55</v>
      </c>
      <c r="B58" s="13">
        <v>6.2100000000000002E-2</v>
      </c>
      <c r="C58" s="12"/>
      <c r="D58" s="12"/>
      <c r="E58" s="41"/>
      <c r="F58" s="41"/>
      <c r="G58" s="41"/>
      <c r="H58" s="43"/>
      <c r="I58" s="38"/>
    </row>
    <row r="61" spans="1:9" ht="15.6" customHeight="1" x14ac:dyDescent="0.3">
      <c r="A61" s="14" t="s">
        <v>56</v>
      </c>
      <c r="B61" s="15"/>
      <c r="C61" s="15"/>
      <c r="D61" s="15"/>
      <c r="E61" s="15"/>
      <c r="F61" s="15"/>
      <c r="G61" s="15"/>
      <c r="H61" s="15"/>
      <c r="I61" s="15"/>
    </row>
    <row r="62" spans="1:9" x14ac:dyDescent="0.3">
      <c r="A62" s="16" t="s">
        <v>24</v>
      </c>
      <c r="B62" s="16" t="s">
        <v>25</v>
      </c>
      <c r="C62" s="16" t="s">
        <v>5</v>
      </c>
      <c r="D62" s="16" t="s">
        <v>6</v>
      </c>
      <c r="E62" s="16" t="s">
        <v>26</v>
      </c>
      <c r="F62" s="16" t="s">
        <v>27</v>
      </c>
      <c r="G62" s="16" t="s">
        <v>28</v>
      </c>
      <c r="H62" s="16" t="s">
        <v>57</v>
      </c>
      <c r="I62" s="16" t="s">
        <v>58</v>
      </c>
    </row>
    <row r="63" spans="1:9" x14ac:dyDescent="0.3">
      <c r="A63" s="3" t="s">
        <v>31</v>
      </c>
      <c r="B63" s="10">
        <v>0</v>
      </c>
      <c r="C63" s="4">
        <v>0</v>
      </c>
      <c r="D63" s="4">
        <v>0</v>
      </c>
      <c r="E63" s="7">
        <v>0</v>
      </c>
      <c r="F63" s="7">
        <v>0</v>
      </c>
      <c r="G63" s="7">
        <v>329</v>
      </c>
      <c r="H63" s="7">
        <v>329</v>
      </c>
      <c r="I63" s="7">
        <v>0</v>
      </c>
    </row>
    <row r="64" spans="1:9" x14ac:dyDescent="0.3">
      <c r="A64" s="3" t="s">
        <v>32</v>
      </c>
      <c r="B64" s="9">
        <v>5.5500000000000001E-2</v>
      </c>
      <c r="C64" s="4">
        <v>6.9599999999999995E-2</v>
      </c>
      <c r="D64" s="4">
        <v>4.6199999999999998E-2</v>
      </c>
      <c r="E64" s="7">
        <v>11.8</v>
      </c>
      <c r="F64" s="7">
        <v>157.19999999999999</v>
      </c>
      <c r="G64" s="7">
        <v>243</v>
      </c>
      <c r="H64" s="7">
        <v>254.8</v>
      </c>
      <c r="I64" s="7">
        <v>169</v>
      </c>
    </row>
    <row r="65" spans="1:9" x14ac:dyDescent="0.3">
      <c r="A65" s="3" t="s">
        <v>33</v>
      </c>
      <c r="B65" s="6">
        <v>0.17449999999999999</v>
      </c>
      <c r="C65" s="4">
        <v>0.19470000000000001</v>
      </c>
      <c r="D65" s="4">
        <v>0.15809999999999999</v>
      </c>
      <c r="E65" s="7">
        <v>31.9</v>
      </c>
      <c r="F65" s="7">
        <v>132.1</v>
      </c>
      <c r="G65" s="7">
        <v>170</v>
      </c>
      <c r="H65" s="7">
        <v>201.9</v>
      </c>
      <c r="I65" s="7">
        <v>164</v>
      </c>
    </row>
    <row r="66" spans="1:9" x14ac:dyDescent="0.3">
      <c r="A66" s="3" t="s">
        <v>34</v>
      </c>
      <c r="B66" s="4">
        <v>3.7400000000000003E-2</v>
      </c>
      <c r="C66" s="4">
        <v>3.2000000000000001E-2</v>
      </c>
      <c r="D66" s="4">
        <v>4.4900000000000002E-2</v>
      </c>
      <c r="E66" s="7">
        <v>5.0999999999999996</v>
      </c>
      <c r="F66" s="7">
        <v>154.9</v>
      </c>
      <c r="G66" s="7">
        <v>109</v>
      </c>
      <c r="H66" s="7">
        <v>114.1</v>
      </c>
      <c r="I66" s="7">
        <v>160</v>
      </c>
    </row>
    <row r="67" spans="1:9" x14ac:dyDescent="0.3">
      <c r="A67" s="3" t="s">
        <v>36</v>
      </c>
      <c r="B67" s="4">
        <v>2.75E-2</v>
      </c>
      <c r="C67" s="4">
        <v>2.8899999999999999E-2</v>
      </c>
      <c r="D67" s="4">
        <v>2.6100000000000002E-2</v>
      </c>
      <c r="E67" s="7">
        <v>3</v>
      </c>
      <c r="F67" s="7">
        <v>99</v>
      </c>
      <c r="G67" s="7">
        <v>110</v>
      </c>
      <c r="H67" s="7">
        <v>113</v>
      </c>
      <c r="I67" s="7">
        <v>102</v>
      </c>
    </row>
    <row r="68" spans="1:9" x14ac:dyDescent="0.3">
      <c r="A68" s="3" t="s">
        <v>37</v>
      </c>
      <c r="B68" s="10">
        <v>0</v>
      </c>
      <c r="C68" s="4">
        <v>0</v>
      </c>
      <c r="D68" s="4">
        <v>0</v>
      </c>
      <c r="E68" s="7">
        <v>0</v>
      </c>
      <c r="F68" s="7">
        <v>0</v>
      </c>
      <c r="G68" s="7">
        <v>109</v>
      </c>
      <c r="H68" s="7">
        <v>109</v>
      </c>
      <c r="I68" s="7">
        <v>0</v>
      </c>
    </row>
    <row r="69" spans="1:9" x14ac:dyDescent="0.3">
      <c r="A69" s="3" t="s">
        <v>35</v>
      </c>
      <c r="B69" s="10">
        <v>0</v>
      </c>
      <c r="C69" s="4">
        <v>0</v>
      </c>
      <c r="D69" s="4">
        <v>0</v>
      </c>
      <c r="E69" s="7">
        <v>0</v>
      </c>
      <c r="F69" s="7">
        <v>3</v>
      </c>
      <c r="G69" s="7">
        <v>106</v>
      </c>
      <c r="H69" s="7">
        <v>106</v>
      </c>
      <c r="I69" s="7">
        <v>3</v>
      </c>
    </row>
    <row r="70" spans="1:9" x14ac:dyDescent="0.3">
      <c r="A70" s="3" t="s">
        <v>38</v>
      </c>
      <c r="B70" s="10">
        <v>0</v>
      </c>
      <c r="C70" s="4">
        <v>0</v>
      </c>
      <c r="D70" s="4">
        <v>0</v>
      </c>
      <c r="E70" s="7">
        <v>0</v>
      </c>
      <c r="F70" s="7">
        <v>1</v>
      </c>
      <c r="G70" s="7">
        <v>59</v>
      </c>
      <c r="H70" s="7">
        <v>59</v>
      </c>
      <c r="I70" s="7">
        <v>1</v>
      </c>
    </row>
    <row r="71" spans="1:9" x14ac:dyDescent="0.3">
      <c r="A71" s="3" t="s">
        <v>39</v>
      </c>
      <c r="B71" s="10">
        <v>0</v>
      </c>
      <c r="C71" s="4">
        <v>0</v>
      </c>
      <c r="D71" s="4">
        <v>0</v>
      </c>
      <c r="E71" s="7">
        <v>0</v>
      </c>
      <c r="F71" s="7">
        <v>1</v>
      </c>
      <c r="G71" s="7">
        <v>53</v>
      </c>
      <c r="H71" s="7">
        <v>53</v>
      </c>
      <c r="I71" s="7">
        <v>1</v>
      </c>
    </row>
    <row r="72" spans="1:9" x14ac:dyDescent="0.3">
      <c r="A72" s="3" t="s">
        <v>40</v>
      </c>
      <c r="B72" s="10">
        <v>0</v>
      </c>
      <c r="C72" s="4">
        <v>0</v>
      </c>
      <c r="D72" s="4">
        <v>0</v>
      </c>
      <c r="E72" s="7">
        <v>0</v>
      </c>
      <c r="F72" s="7">
        <v>15</v>
      </c>
      <c r="G72" s="7">
        <v>51</v>
      </c>
      <c r="H72" s="7">
        <v>51</v>
      </c>
      <c r="I72" s="7">
        <v>15</v>
      </c>
    </row>
    <row r="73" spans="1:9" x14ac:dyDescent="0.3">
      <c r="A73" s="3" t="s">
        <v>41</v>
      </c>
      <c r="B73" s="4">
        <v>2.2499999999999999E-2</v>
      </c>
      <c r="C73" s="4">
        <v>2.3800000000000002E-2</v>
      </c>
      <c r="D73" s="4">
        <v>2.1299999999999999E-2</v>
      </c>
      <c r="E73" s="7">
        <v>1</v>
      </c>
      <c r="F73" s="7">
        <v>41</v>
      </c>
      <c r="G73" s="7">
        <v>46</v>
      </c>
      <c r="H73" s="7">
        <v>47</v>
      </c>
      <c r="I73" s="7">
        <v>42</v>
      </c>
    </row>
    <row r="74" spans="1:9" x14ac:dyDescent="0.3">
      <c r="A74" s="3" t="s">
        <v>42</v>
      </c>
      <c r="B74" s="4">
        <v>0.03</v>
      </c>
      <c r="C74" s="4">
        <v>2.1999999999999999E-2</v>
      </c>
      <c r="D74" s="4">
        <v>4.7199999999999999E-2</v>
      </c>
      <c r="E74" s="7">
        <v>1.9</v>
      </c>
      <c r="F74" s="7">
        <v>86.1</v>
      </c>
      <c r="G74" s="7">
        <v>39</v>
      </c>
      <c r="H74" s="7">
        <v>40.9</v>
      </c>
      <c r="I74" s="7">
        <v>88</v>
      </c>
    </row>
    <row r="75" spans="1:9" x14ac:dyDescent="0.3">
      <c r="A75" s="3" t="s">
        <v>43</v>
      </c>
      <c r="B75" s="4">
        <v>9.1999999999999998E-3</v>
      </c>
      <c r="C75" s="4">
        <v>1.4999999999999999E-2</v>
      </c>
      <c r="D75" s="4">
        <v>6.7000000000000002E-3</v>
      </c>
      <c r="E75" s="7">
        <v>0.3</v>
      </c>
      <c r="F75" s="7">
        <v>16.7</v>
      </c>
      <c r="G75" s="7">
        <v>38</v>
      </c>
      <c r="H75" s="7">
        <v>38.299999999999997</v>
      </c>
      <c r="I75" s="7">
        <v>17</v>
      </c>
    </row>
    <row r="76" spans="1:9" x14ac:dyDescent="0.3">
      <c r="A76" s="3" t="s">
        <v>44</v>
      </c>
      <c r="B76" s="10">
        <v>0</v>
      </c>
      <c r="C76" s="4">
        <v>0</v>
      </c>
      <c r="D76" s="4">
        <v>0</v>
      </c>
      <c r="E76" s="7">
        <v>0</v>
      </c>
      <c r="F76" s="7">
        <v>4</v>
      </c>
      <c r="G76" s="7">
        <v>37</v>
      </c>
      <c r="H76" s="7">
        <v>37</v>
      </c>
      <c r="I76" s="7">
        <v>4</v>
      </c>
    </row>
    <row r="77" spans="1:9" x14ac:dyDescent="0.3">
      <c r="A77" s="3" t="s">
        <v>45</v>
      </c>
      <c r="B77" s="4">
        <v>6.6E-3</v>
      </c>
      <c r="C77" s="4">
        <v>1.7500000000000002E-2</v>
      </c>
      <c r="D77" s="4">
        <v>4.0000000000000001E-3</v>
      </c>
      <c r="E77" s="7">
        <v>0.1</v>
      </c>
      <c r="F77" s="7">
        <v>5.9</v>
      </c>
      <c r="G77" s="7">
        <v>26</v>
      </c>
      <c r="H77" s="7">
        <v>26.1</v>
      </c>
      <c r="I77" s="7">
        <v>6</v>
      </c>
    </row>
    <row r="78" spans="1:9" x14ac:dyDescent="0.3">
      <c r="A78" s="3" t="s">
        <v>46</v>
      </c>
      <c r="B78" s="10">
        <v>0</v>
      </c>
      <c r="C78" s="4">
        <v>0</v>
      </c>
      <c r="D78" s="4">
        <v>0</v>
      </c>
      <c r="E78" s="7">
        <v>0</v>
      </c>
      <c r="F78" s="7">
        <v>3</v>
      </c>
      <c r="G78" s="7">
        <v>18</v>
      </c>
      <c r="H78" s="7">
        <v>18</v>
      </c>
      <c r="I78" s="7">
        <v>3</v>
      </c>
    </row>
    <row r="79" spans="1:9" x14ac:dyDescent="0.3">
      <c r="A79" s="3" t="s">
        <v>48</v>
      </c>
      <c r="B79" s="4">
        <v>3.09E-2</v>
      </c>
      <c r="C79" s="4">
        <v>3.1399999999999997E-2</v>
      </c>
      <c r="D79" s="4">
        <v>3.04E-2</v>
      </c>
      <c r="E79" s="7">
        <v>0.5</v>
      </c>
      <c r="F79" s="7">
        <v>14.5</v>
      </c>
      <c r="G79" s="7">
        <v>15</v>
      </c>
      <c r="H79" s="7">
        <v>15.5</v>
      </c>
      <c r="I79" s="7">
        <v>15</v>
      </c>
    </row>
    <row r="80" spans="1:9" x14ac:dyDescent="0.3">
      <c r="A80" s="3" t="s">
        <v>47</v>
      </c>
      <c r="B80" s="10">
        <v>0</v>
      </c>
      <c r="C80" s="4">
        <v>0</v>
      </c>
      <c r="D80" s="4">
        <v>0</v>
      </c>
      <c r="E80" s="7">
        <v>0</v>
      </c>
      <c r="F80" s="7">
        <v>0</v>
      </c>
      <c r="G80" s="7">
        <v>15</v>
      </c>
      <c r="H80" s="7">
        <v>15</v>
      </c>
      <c r="I80" s="7">
        <v>0</v>
      </c>
    </row>
    <row r="81" spans="1:9" x14ac:dyDescent="0.3">
      <c r="A81" s="3" t="s">
        <v>51</v>
      </c>
      <c r="B81" s="10">
        <v>0</v>
      </c>
      <c r="C81" s="4">
        <v>0</v>
      </c>
      <c r="D81" s="4">
        <v>0</v>
      </c>
      <c r="E81" s="7">
        <v>0</v>
      </c>
      <c r="F81" s="7">
        <v>13</v>
      </c>
      <c r="G81" s="7">
        <v>10</v>
      </c>
      <c r="H81" s="7">
        <v>10</v>
      </c>
      <c r="I81" s="7">
        <v>13</v>
      </c>
    </row>
    <row r="82" spans="1:9" x14ac:dyDescent="0.3">
      <c r="A82" s="3" t="s">
        <v>49</v>
      </c>
      <c r="B82" s="10">
        <v>0</v>
      </c>
      <c r="C82" s="4">
        <v>0</v>
      </c>
      <c r="D82" s="4">
        <v>0</v>
      </c>
      <c r="E82" s="7">
        <v>0</v>
      </c>
      <c r="F82" s="7">
        <v>0</v>
      </c>
      <c r="G82" s="7">
        <v>10</v>
      </c>
      <c r="H82" s="7">
        <v>10</v>
      </c>
      <c r="I82" s="7">
        <v>0</v>
      </c>
    </row>
    <row r="83" spans="1:9" x14ac:dyDescent="0.3">
      <c r="A83" s="3" t="s">
        <v>50</v>
      </c>
      <c r="B83" s="10">
        <v>0</v>
      </c>
      <c r="C83" s="4">
        <v>0</v>
      </c>
      <c r="D83" s="4">
        <v>0</v>
      </c>
      <c r="E83" s="7">
        <v>0</v>
      </c>
      <c r="F83" s="7">
        <v>0</v>
      </c>
      <c r="G83" s="7">
        <v>8</v>
      </c>
      <c r="H83" s="7">
        <v>8</v>
      </c>
      <c r="I83" s="7">
        <v>0</v>
      </c>
    </row>
    <row r="84" spans="1:9" x14ac:dyDescent="0.3">
      <c r="A84" s="3" t="s">
        <v>52</v>
      </c>
      <c r="B84" s="10">
        <v>0</v>
      </c>
      <c r="C84" s="4">
        <v>0</v>
      </c>
      <c r="D84" s="4">
        <v>0</v>
      </c>
      <c r="E84" s="7">
        <v>0</v>
      </c>
      <c r="F84" s="7">
        <v>1</v>
      </c>
      <c r="G84" s="7">
        <v>6</v>
      </c>
      <c r="H84" s="7">
        <v>6</v>
      </c>
      <c r="I84" s="7">
        <v>1</v>
      </c>
    </row>
    <row r="85" spans="1:9" x14ac:dyDescent="0.3">
      <c r="A85" s="3" t="s">
        <v>53</v>
      </c>
      <c r="B85" s="10">
        <v>0</v>
      </c>
      <c r="C85" s="4">
        <v>0</v>
      </c>
      <c r="D85" s="4">
        <v>0</v>
      </c>
      <c r="E85" s="7">
        <v>0</v>
      </c>
      <c r="F85" s="7">
        <v>0</v>
      </c>
      <c r="G85" s="7">
        <v>3</v>
      </c>
      <c r="H85" s="7">
        <v>3</v>
      </c>
      <c r="I85" s="7">
        <v>0</v>
      </c>
    </row>
    <row r="87" spans="1:9" x14ac:dyDescent="0.3">
      <c r="A87" s="11" t="s">
        <v>59</v>
      </c>
      <c r="B87" s="13">
        <v>5.67E-2</v>
      </c>
      <c r="C87" s="13">
        <v>5.3999999999999999E-2</v>
      </c>
      <c r="D87" s="13">
        <v>5.8999999999999997E-2</v>
      </c>
      <c r="E87" s="11">
        <v>55.5</v>
      </c>
      <c r="F87" s="11">
        <v>748.5</v>
      </c>
      <c r="G87" s="11">
        <v>1610</v>
      </c>
      <c r="H87" s="11">
        <v>1727</v>
      </c>
      <c r="I87" s="11">
        <v>804</v>
      </c>
    </row>
    <row r="88" spans="1:9" x14ac:dyDescent="0.3">
      <c r="A88" s="11" t="s">
        <v>60</v>
      </c>
      <c r="B88" s="13">
        <v>1.7100000000000001E-2</v>
      </c>
      <c r="C88" s="12"/>
      <c r="D88" s="12"/>
      <c r="E88" s="12"/>
      <c r="F88" s="12"/>
      <c r="G88" s="12"/>
      <c r="H88" s="12"/>
      <c r="I88" s="12"/>
    </row>
    <row r="91" spans="1:9" ht="15.6" customHeight="1" x14ac:dyDescent="0.3">
      <c r="A91" s="14" t="s">
        <v>61</v>
      </c>
      <c r="B91" s="15"/>
      <c r="C91" s="15"/>
      <c r="D91" s="15"/>
      <c r="E91" s="15"/>
      <c r="F91" s="15"/>
      <c r="G91" s="15"/>
      <c r="H91" s="15"/>
      <c r="I91" s="15"/>
    </row>
    <row r="92" spans="1:9" x14ac:dyDescent="0.3">
      <c r="A92" s="16" t="s">
        <v>24</v>
      </c>
      <c r="B92" s="16" t="s">
        <v>25</v>
      </c>
      <c r="C92" s="16" t="s">
        <v>5</v>
      </c>
      <c r="D92" s="16" t="s">
        <v>6</v>
      </c>
      <c r="E92" s="16" t="s">
        <v>26</v>
      </c>
      <c r="F92" s="16" t="s">
        <v>27</v>
      </c>
      <c r="G92" s="16" t="s">
        <v>28</v>
      </c>
      <c r="H92" s="16" t="s">
        <v>57</v>
      </c>
      <c r="I92" s="16" t="s">
        <v>58</v>
      </c>
    </row>
    <row r="93" spans="1:9" x14ac:dyDescent="0.3">
      <c r="A93" s="3" t="s">
        <v>31</v>
      </c>
      <c r="B93" s="10">
        <v>0</v>
      </c>
      <c r="C93" s="4">
        <v>0</v>
      </c>
      <c r="D93" s="4">
        <v>0</v>
      </c>
      <c r="E93" s="7">
        <v>0</v>
      </c>
      <c r="F93" s="7">
        <v>0</v>
      </c>
      <c r="G93" s="7">
        <v>329</v>
      </c>
      <c r="H93" s="7">
        <v>329</v>
      </c>
      <c r="I93" s="7">
        <v>0</v>
      </c>
    </row>
    <row r="94" spans="1:9" x14ac:dyDescent="0.3">
      <c r="A94" s="3" t="s">
        <v>32</v>
      </c>
      <c r="B94" s="10">
        <v>0</v>
      </c>
      <c r="C94" s="4">
        <v>0</v>
      </c>
      <c r="D94" s="4">
        <v>0</v>
      </c>
      <c r="E94" s="7">
        <v>0</v>
      </c>
      <c r="F94" s="7">
        <v>11</v>
      </c>
      <c r="G94" s="7">
        <v>261</v>
      </c>
      <c r="H94" s="7">
        <v>261</v>
      </c>
      <c r="I94" s="7">
        <v>11</v>
      </c>
    </row>
    <row r="95" spans="1:9" x14ac:dyDescent="0.3">
      <c r="A95" s="3" t="s">
        <v>33</v>
      </c>
      <c r="B95" s="4">
        <v>4.1599999999999998E-2</v>
      </c>
      <c r="C95" s="4">
        <v>0.14369999999999999</v>
      </c>
      <c r="D95" s="4">
        <v>2.4299999999999999E-2</v>
      </c>
      <c r="E95" s="7">
        <v>5</v>
      </c>
      <c r="F95" s="7">
        <v>30</v>
      </c>
      <c r="G95" s="7">
        <v>202</v>
      </c>
      <c r="H95" s="7">
        <v>207</v>
      </c>
      <c r="I95" s="7">
        <v>35</v>
      </c>
    </row>
    <row r="96" spans="1:9" x14ac:dyDescent="0.3">
      <c r="A96" s="3" t="s">
        <v>34</v>
      </c>
      <c r="B96" s="4">
        <v>6.8999999999999999E-3</v>
      </c>
      <c r="C96" s="4">
        <v>1.4200000000000001E-2</v>
      </c>
      <c r="D96" s="4">
        <v>4.5999999999999999E-3</v>
      </c>
      <c r="E96" s="7">
        <v>0.6</v>
      </c>
      <c r="F96" s="7">
        <v>41.4</v>
      </c>
      <c r="G96" s="7">
        <v>129</v>
      </c>
      <c r="H96" s="7">
        <v>129.6</v>
      </c>
      <c r="I96" s="7">
        <v>42</v>
      </c>
    </row>
    <row r="97" spans="1:9" x14ac:dyDescent="0.3">
      <c r="A97" s="3" t="s">
        <v>36</v>
      </c>
      <c r="B97" s="4">
        <v>2.6200000000000001E-2</v>
      </c>
      <c r="C97" s="4">
        <v>4.24E-2</v>
      </c>
      <c r="D97" s="4">
        <v>1.9E-2</v>
      </c>
      <c r="E97" s="7">
        <v>2.2000000000000002</v>
      </c>
      <c r="F97" s="7">
        <v>49.8</v>
      </c>
      <c r="G97" s="7">
        <v>114</v>
      </c>
      <c r="H97" s="7">
        <v>116.2</v>
      </c>
      <c r="I97" s="7">
        <v>52</v>
      </c>
    </row>
    <row r="98" spans="1:9" x14ac:dyDescent="0.3">
      <c r="A98" s="3" t="s">
        <v>37</v>
      </c>
      <c r="B98" s="10">
        <v>0</v>
      </c>
      <c r="C98" s="4">
        <v>0</v>
      </c>
      <c r="D98" s="4">
        <v>0</v>
      </c>
      <c r="E98" s="7">
        <v>0</v>
      </c>
      <c r="F98" s="7">
        <v>0</v>
      </c>
      <c r="G98" s="7">
        <v>109</v>
      </c>
      <c r="H98" s="7">
        <v>109</v>
      </c>
      <c r="I98" s="7">
        <v>0</v>
      </c>
    </row>
    <row r="99" spans="1:9" x14ac:dyDescent="0.3">
      <c r="A99" s="3" t="s">
        <v>35</v>
      </c>
      <c r="B99" s="10">
        <v>0</v>
      </c>
      <c r="C99" s="4">
        <v>0</v>
      </c>
      <c r="D99" s="4">
        <v>0</v>
      </c>
      <c r="E99" s="7">
        <v>0</v>
      </c>
      <c r="F99" s="7">
        <v>0</v>
      </c>
      <c r="G99" s="7">
        <v>106</v>
      </c>
      <c r="H99" s="7">
        <v>106</v>
      </c>
      <c r="I99" s="7">
        <v>0</v>
      </c>
    </row>
    <row r="100" spans="1:9" x14ac:dyDescent="0.3">
      <c r="A100" s="3" t="s">
        <v>38</v>
      </c>
      <c r="B100" s="4">
        <v>5.9999999999999995E-4</v>
      </c>
      <c r="C100" s="4">
        <v>1.6899999999999998E-2</v>
      </c>
      <c r="D100" s="4">
        <v>2.9999999999999997E-4</v>
      </c>
      <c r="E100" s="7">
        <v>0</v>
      </c>
      <c r="F100" s="7">
        <v>1</v>
      </c>
      <c r="G100" s="7">
        <v>58</v>
      </c>
      <c r="H100" s="7">
        <v>58</v>
      </c>
      <c r="I100" s="7">
        <v>1</v>
      </c>
    </row>
    <row r="101" spans="1:9" x14ac:dyDescent="0.3">
      <c r="A101" s="3" t="s">
        <v>39</v>
      </c>
      <c r="B101" s="10">
        <v>0</v>
      </c>
      <c r="C101" s="4">
        <v>0</v>
      </c>
      <c r="D101" s="4">
        <v>0</v>
      </c>
      <c r="E101" s="7">
        <v>0</v>
      </c>
      <c r="F101" s="7">
        <v>4</v>
      </c>
      <c r="G101" s="7">
        <v>53</v>
      </c>
      <c r="H101" s="7">
        <v>53</v>
      </c>
      <c r="I101" s="7">
        <v>4</v>
      </c>
    </row>
    <row r="102" spans="1:9" x14ac:dyDescent="0.3">
      <c r="A102" s="3" t="s">
        <v>40</v>
      </c>
      <c r="B102" s="4">
        <v>1.5E-3</v>
      </c>
      <c r="C102" s="4">
        <v>1.34E-2</v>
      </c>
      <c r="D102" s="4">
        <v>8.0000000000000004E-4</v>
      </c>
      <c r="E102" s="7">
        <v>0</v>
      </c>
      <c r="F102" s="7">
        <v>3</v>
      </c>
      <c r="G102" s="7">
        <v>50</v>
      </c>
      <c r="H102" s="7">
        <v>50</v>
      </c>
      <c r="I102" s="7">
        <v>3</v>
      </c>
    </row>
    <row r="103" spans="1:9" x14ac:dyDescent="0.3">
      <c r="A103" s="3" t="s">
        <v>41</v>
      </c>
      <c r="B103" s="4">
        <v>7.9000000000000008E-3</v>
      </c>
      <c r="C103" s="4">
        <v>3.0099999999999998E-2</v>
      </c>
      <c r="D103" s="4">
        <v>4.5999999999999999E-3</v>
      </c>
      <c r="E103" s="7">
        <v>0.2</v>
      </c>
      <c r="F103" s="7">
        <v>6.8</v>
      </c>
      <c r="G103" s="7">
        <v>46</v>
      </c>
      <c r="H103" s="7">
        <v>46.2</v>
      </c>
      <c r="I103" s="7">
        <v>7</v>
      </c>
    </row>
    <row r="104" spans="1:9" x14ac:dyDescent="0.3">
      <c r="A104" s="3" t="s">
        <v>42</v>
      </c>
      <c r="B104" s="10">
        <v>0</v>
      </c>
      <c r="C104" s="4">
        <v>0</v>
      </c>
      <c r="D104" s="4">
        <v>0</v>
      </c>
      <c r="E104" s="7">
        <v>0</v>
      </c>
      <c r="F104" s="7">
        <v>6</v>
      </c>
      <c r="G104" s="7">
        <v>45</v>
      </c>
      <c r="H104" s="7">
        <v>45</v>
      </c>
      <c r="I104" s="7">
        <v>6</v>
      </c>
    </row>
    <row r="105" spans="1:9" x14ac:dyDescent="0.3">
      <c r="A105" s="3" t="s">
        <v>43</v>
      </c>
      <c r="B105" s="10">
        <v>0</v>
      </c>
      <c r="C105" s="4">
        <v>0</v>
      </c>
      <c r="D105" s="4">
        <v>0</v>
      </c>
      <c r="E105" s="7">
        <v>0</v>
      </c>
      <c r="F105" s="7">
        <v>0</v>
      </c>
      <c r="G105" s="7">
        <v>40</v>
      </c>
      <c r="H105" s="7">
        <v>40</v>
      </c>
      <c r="I105" s="7">
        <v>0</v>
      </c>
    </row>
    <row r="106" spans="1:9" x14ac:dyDescent="0.3">
      <c r="A106" s="3" t="s">
        <v>44</v>
      </c>
      <c r="B106" s="10">
        <v>0</v>
      </c>
      <c r="C106" s="4">
        <v>0</v>
      </c>
      <c r="D106" s="4">
        <v>0</v>
      </c>
      <c r="E106" s="7">
        <v>0</v>
      </c>
      <c r="F106" s="7">
        <v>0</v>
      </c>
      <c r="G106" s="7">
        <v>37</v>
      </c>
      <c r="H106" s="7">
        <v>37</v>
      </c>
      <c r="I106" s="7">
        <v>0</v>
      </c>
    </row>
    <row r="107" spans="1:9" x14ac:dyDescent="0.3">
      <c r="A107" s="3" t="s">
        <v>45</v>
      </c>
      <c r="B107" s="10">
        <v>0</v>
      </c>
      <c r="C107" s="4">
        <v>0</v>
      </c>
      <c r="D107" s="4">
        <v>0</v>
      </c>
      <c r="E107" s="7">
        <v>0</v>
      </c>
      <c r="F107" s="7">
        <v>0</v>
      </c>
      <c r="G107" s="7">
        <v>27</v>
      </c>
      <c r="H107" s="7">
        <v>27</v>
      </c>
      <c r="I107" s="7">
        <v>0</v>
      </c>
    </row>
    <row r="108" spans="1:9" x14ac:dyDescent="0.3">
      <c r="A108" s="3" t="s">
        <v>46</v>
      </c>
      <c r="B108" s="10">
        <v>0</v>
      </c>
      <c r="C108" s="4">
        <v>0</v>
      </c>
      <c r="D108" s="4">
        <v>0</v>
      </c>
      <c r="E108" s="7">
        <v>0</v>
      </c>
      <c r="F108" s="7">
        <v>0</v>
      </c>
      <c r="G108" s="7">
        <v>18</v>
      </c>
      <c r="H108" s="7">
        <v>18</v>
      </c>
      <c r="I108" s="7">
        <v>0</v>
      </c>
    </row>
    <row r="109" spans="1:9" x14ac:dyDescent="0.3">
      <c r="A109" s="3" t="s">
        <v>48</v>
      </c>
      <c r="B109" s="10">
        <v>0</v>
      </c>
      <c r="C109" s="4">
        <v>0</v>
      </c>
      <c r="D109" s="4">
        <v>0</v>
      </c>
      <c r="E109" s="7">
        <v>0</v>
      </c>
      <c r="F109" s="7">
        <v>18</v>
      </c>
      <c r="G109" s="7">
        <v>16</v>
      </c>
      <c r="H109" s="7">
        <v>16</v>
      </c>
      <c r="I109" s="7">
        <v>18</v>
      </c>
    </row>
    <row r="110" spans="1:9" x14ac:dyDescent="0.3">
      <c r="A110" s="3" t="s">
        <v>47</v>
      </c>
      <c r="B110" s="10">
        <v>0</v>
      </c>
      <c r="C110" s="4">
        <v>0</v>
      </c>
      <c r="D110" s="4">
        <v>0</v>
      </c>
      <c r="E110" s="7">
        <v>0</v>
      </c>
      <c r="F110" s="7">
        <v>0</v>
      </c>
      <c r="G110" s="7">
        <v>15</v>
      </c>
      <c r="H110" s="7">
        <v>15</v>
      </c>
      <c r="I110" s="7">
        <v>0</v>
      </c>
    </row>
    <row r="111" spans="1:9" x14ac:dyDescent="0.3">
      <c r="A111" s="3" t="s">
        <v>51</v>
      </c>
      <c r="B111" s="10">
        <v>0</v>
      </c>
      <c r="C111" s="4">
        <v>0</v>
      </c>
      <c r="D111" s="4">
        <v>0</v>
      </c>
      <c r="E111" s="7">
        <v>0</v>
      </c>
      <c r="F111" s="7">
        <v>0</v>
      </c>
      <c r="G111" s="7">
        <v>10</v>
      </c>
      <c r="H111" s="7">
        <v>10</v>
      </c>
      <c r="I111" s="7">
        <v>0</v>
      </c>
    </row>
    <row r="112" spans="1:9" x14ac:dyDescent="0.3">
      <c r="A112" s="3" t="s">
        <v>49</v>
      </c>
      <c r="B112" s="4">
        <v>1.8700000000000001E-2</v>
      </c>
      <c r="C112" s="4">
        <v>3.4599999999999999E-2</v>
      </c>
      <c r="D112" s="4">
        <v>1.2800000000000001E-2</v>
      </c>
      <c r="E112" s="7">
        <v>0.1</v>
      </c>
      <c r="F112" s="7">
        <v>2.9</v>
      </c>
      <c r="G112" s="7">
        <v>8</v>
      </c>
      <c r="H112" s="7">
        <v>8.1</v>
      </c>
      <c r="I112" s="7">
        <v>3</v>
      </c>
    </row>
    <row r="113" spans="1:9" x14ac:dyDescent="0.3">
      <c r="A113" s="3" t="s">
        <v>50</v>
      </c>
      <c r="B113" s="10">
        <v>0</v>
      </c>
      <c r="C113" s="4">
        <v>0</v>
      </c>
      <c r="D113" s="4">
        <v>0</v>
      </c>
      <c r="E113" s="7">
        <v>0</v>
      </c>
      <c r="F113" s="7">
        <v>0</v>
      </c>
      <c r="G113" s="7">
        <v>8</v>
      </c>
      <c r="H113" s="7">
        <v>8</v>
      </c>
      <c r="I113" s="7">
        <v>0</v>
      </c>
    </row>
    <row r="114" spans="1:9" x14ac:dyDescent="0.3">
      <c r="A114" s="3" t="s">
        <v>52</v>
      </c>
      <c r="B114" s="10">
        <v>0</v>
      </c>
      <c r="C114" s="4">
        <v>0</v>
      </c>
      <c r="D114" s="4">
        <v>0</v>
      </c>
      <c r="E114" s="7">
        <v>0</v>
      </c>
      <c r="F114" s="7">
        <v>0</v>
      </c>
      <c r="G114" s="7">
        <v>6</v>
      </c>
      <c r="H114" s="7">
        <v>6</v>
      </c>
      <c r="I114" s="7">
        <v>0</v>
      </c>
    </row>
    <row r="115" spans="1:9" x14ac:dyDescent="0.3">
      <c r="A115" s="3" t="s">
        <v>53</v>
      </c>
      <c r="B115" s="10">
        <v>0</v>
      </c>
      <c r="C115" s="4">
        <v>0</v>
      </c>
      <c r="D115" s="4">
        <v>0</v>
      </c>
      <c r="E115" s="7">
        <v>0</v>
      </c>
      <c r="F115" s="7">
        <v>0</v>
      </c>
      <c r="G115" s="7">
        <v>3</v>
      </c>
      <c r="H115" s="7">
        <v>3</v>
      </c>
      <c r="I115" s="7">
        <v>0</v>
      </c>
    </row>
    <row r="117" spans="1:9" x14ac:dyDescent="0.3">
      <c r="A117" s="11" t="s">
        <v>59</v>
      </c>
      <c r="B117" s="13">
        <v>4.2799999999999998E-2</v>
      </c>
      <c r="C117" s="13">
        <v>3.3000000000000002E-2</v>
      </c>
      <c r="D117" s="13">
        <v>0.06</v>
      </c>
      <c r="E117" s="11">
        <v>8.1999999999999993</v>
      </c>
      <c r="F117" s="11">
        <v>173.8</v>
      </c>
      <c r="G117" s="11">
        <v>1690</v>
      </c>
      <c r="H117" s="11">
        <v>1727</v>
      </c>
      <c r="I117" s="11">
        <v>182</v>
      </c>
    </row>
    <row r="118" spans="1:9" x14ac:dyDescent="0.3">
      <c r="A118" s="11" t="s">
        <v>60</v>
      </c>
      <c r="B118" s="13">
        <v>4.4999999999999997E-3</v>
      </c>
      <c r="C118" s="12"/>
      <c r="D118" s="12"/>
      <c r="E118" s="12"/>
      <c r="F118" s="12"/>
      <c r="G118" s="12"/>
      <c r="H118" s="12"/>
      <c r="I118" s="12"/>
    </row>
    <row r="120" spans="1:9" ht="15.6" customHeight="1" x14ac:dyDescent="0.3">
      <c r="A120" s="48" t="s">
        <v>62</v>
      </c>
      <c r="B120" s="49"/>
      <c r="C120" s="49"/>
      <c r="D120" s="49"/>
      <c r="E120" s="49"/>
      <c r="F120" s="49"/>
      <c r="G120" s="49"/>
      <c r="H120" s="49"/>
      <c r="I120" s="49"/>
    </row>
    <row r="121" spans="1:9" x14ac:dyDescent="0.3">
      <c r="A121" s="50" t="s">
        <v>24</v>
      </c>
      <c r="B121" s="50" t="s">
        <v>25</v>
      </c>
      <c r="C121" s="50" t="s">
        <v>5</v>
      </c>
      <c r="D121" s="50" t="s">
        <v>6</v>
      </c>
      <c r="E121" s="50" t="s">
        <v>26</v>
      </c>
      <c r="F121" s="50" t="s">
        <v>27</v>
      </c>
      <c r="G121" s="50" t="s">
        <v>28</v>
      </c>
      <c r="H121" s="50" t="s">
        <v>29</v>
      </c>
      <c r="I121" s="50" t="s">
        <v>30</v>
      </c>
    </row>
    <row r="122" spans="1:9" x14ac:dyDescent="0.3">
      <c r="A122" s="51" t="s">
        <v>31</v>
      </c>
      <c r="B122" s="52">
        <v>1.2E-2</v>
      </c>
      <c r="C122" s="52">
        <v>0.66669999999999996</v>
      </c>
      <c r="D122" s="52">
        <v>6.1000000000000004E-3</v>
      </c>
      <c r="E122" s="53">
        <v>2</v>
      </c>
      <c r="F122" s="53">
        <v>1</v>
      </c>
      <c r="G122" s="53">
        <v>327</v>
      </c>
      <c r="H122" s="53">
        <v>329</v>
      </c>
      <c r="I122" s="53">
        <v>3</v>
      </c>
    </row>
    <row r="123" spans="1:9" x14ac:dyDescent="0.3">
      <c r="A123" s="51" t="s">
        <v>32</v>
      </c>
      <c r="B123" s="52">
        <v>6.4399999999999999E-2</v>
      </c>
      <c r="C123" s="52">
        <v>0.1653</v>
      </c>
      <c r="D123" s="52">
        <v>0.04</v>
      </c>
      <c r="E123" s="53">
        <v>10.4</v>
      </c>
      <c r="F123" s="53">
        <v>52.6</v>
      </c>
      <c r="G123" s="53">
        <v>250</v>
      </c>
      <c r="H123" s="53">
        <v>260.39999999999998</v>
      </c>
      <c r="I123" s="53">
        <v>63</v>
      </c>
    </row>
    <row r="124" spans="1:9" x14ac:dyDescent="0.3">
      <c r="A124" s="51" t="s">
        <v>33</v>
      </c>
      <c r="B124" s="52">
        <v>2.1700000000000001E-2</v>
      </c>
      <c r="C124" s="52">
        <v>0.24210000000000001</v>
      </c>
      <c r="D124" s="52">
        <v>1.1299999999999999E-2</v>
      </c>
      <c r="E124" s="53">
        <v>2.4</v>
      </c>
      <c r="F124" s="53">
        <v>7.6</v>
      </c>
      <c r="G124" s="53">
        <v>211</v>
      </c>
      <c r="H124" s="53">
        <v>213.4</v>
      </c>
      <c r="I124" s="53">
        <v>10</v>
      </c>
    </row>
    <row r="125" spans="1:9" x14ac:dyDescent="0.3">
      <c r="A125" s="51" t="s">
        <v>34</v>
      </c>
      <c r="B125" s="52">
        <v>1.8800000000000001E-2</v>
      </c>
      <c r="C125" s="52">
        <v>8.9099999999999999E-2</v>
      </c>
      <c r="D125" s="52">
        <v>1.0500000000000001E-2</v>
      </c>
      <c r="E125" s="53">
        <v>1.4</v>
      </c>
      <c r="F125" s="53">
        <v>14.6</v>
      </c>
      <c r="G125" s="53">
        <v>134</v>
      </c>
      <c r="H125" s="53">
        <v>135.4</v>
      </c>
      <c r="I125" s="53">
        <v>16</v>
      </c>
    </row>
    <row r="126" spans="1:9" x14ac:dyDescent="0.3">
      <c r="A126" s="51" t="s">
        <v>36</v>
      </c>
      <c r="B126" s="52">
        <v>2.3400000000000001E-2</v>
      </c>
      <c r="C126" s="52">
        <v>8.3000000000000004E-2</v>
      </c>
      <c r="D126" s="52">
        <v>1.3599999999999999E-2</v>
      </c>
      <c r="E126" s="53">
        <v>1.7</v>
      </c>
      <c r="F126" s="53">
        <v>18.3</v>
      </c>
      <c r="G126" s="53">
        <v>120</v>
      </c>
      <c r="H126" s="53">
        <v>121.7</v>
      </c>
      <c r="I126" s="53">
        <v>20</v>
      </c>
    </row>
    <row r="127" spans="1:9" x14ac:dyDescent="0.3">
      <c r="A127" s="51" t="s">
        <v>37</v>
      </c>
      <c r="B127" s="52">
        <v>5.2200000000000003E-2</v>
      </c>
      <c r="C127" s="52">
        <v>0.5</v>
      </c>
      <c r="D127" s="52">
        <v>2.75E-2</v>
      </c>
      <c r="E127" s="53">
        <v>3</v>
      </c>
      <c r="F127" s="53">
        <v>3</v>
      </c>
      <c r="G127" s="53">
        <v>106</v>
      </c>
      <c r="H127" s="53">
        <v>109</v>
      </c>
      <c r="I127" s="53">
        <v>6</v>
      </c>
    </row>
    <row r="128" spans="1:9" x14ac:dyDescent="0.3">
      <c r="A128" s="51" t="s">
        <v>35</v>
      </c>
      <c r="B128" s="54">
        <v>0</v>
      </c>
      <c r="C128" s="52">
        <v>0</v>
      </c>
      <c r="D128" s="52">
        <v>0</v>
      </c>
      <c r="E128" s="53">
        <v>0</v>
      </c>
      <c r="F128" s="53">
        <v>6</v>
      </c>
      <c r="G128" s="53">
        <v>106</v>
      </c>
      <c r="H128" s="53">
        <v>106</v>
      </c>
      <c r="I128" s="53">
        <v>6</v>
      </c>
    </row>
    <row r="129" spans="1:9" x14ac:dyDescent="0.3">
      <c r="A129" s="51" t="s">
        <v>38</v>
      </c>
      <c r="B129" s="52">
        <v>2.9899999999999999E-2</v>
      </c>
      <c r="C129" s="52">
        <v>0.125</v>
      </c>
      <c r="D129" s="52">
        <v>1.6899999999999998E-2</v>
      </c>
      <c r="E129" s="53">
        <v>1</v>
      </c>
      <c r="F129" s="53">
        <v>7</v>
      </c>
      <c r="G129" s="53">
        <v>58</v>
      </c>
      <c r="H129" s="53">
        <v>59</v>
      </c>
      <c r="I129" s="53">
        <v>8</v>
      </c>
    </row>
    <row r="130" spans="1:9" x14ac:dyDescent="0.3">
      <c r="A130" s="51" t="s">
        <v>40</v>
      </c>
      <c r="B130" s="54">
        <v>0</v>
      </c>
      <c r="C130" s="52">
        <v>0</v>
      </c>
      <c r="D130" s="52">
        <v>0</v>
      </c>
      <c r="E130" s="53">
        <v>0</v>
      </c>
      <c r="F130" s="53">
        <v>3</v>
      </c>
      <c r="G130" s="53">
        <v>51</v>
      </c>
      <c r="H130" s="53">
        <v>51</v>
      </c>
      <c r="I130" s="53">
        <v>3</v>
      </c>
    </row>
    <row r="131" spans="1:9" x14ac:dyDescent="0.3">
      <c r="A131" s="51" t="s">
        <v>39</v>
      </c>
      <c r="B131" s="52">
        <v>3.4599999999999999E-2</v>
      </c>
      <c r="C131" s="52">
        <v>0.31130000000000002</v>
      </c>
      <c r="D131" s="52">
        <v>1.83E-2</v>
      </c>
      <c r="E131" s="53">
        <v>0.9</v>
      </c>
      <c r="F131" s="53">
        <v>2.1</v>
      </c>
      <c r="G131" s="53">
        <v>50</v>
      </c>
      <c r="H131" s="53">
        <v>50.9</v>
      </c>
      <c r="I131" s="53">
        <v>3</v>
      </c>
    </row>
    <row r="132" spans="1:9" x14ac:dyDescent="0.3">
      <c r="A132" s="51" t="s">
        <v>41</v>
      </c>
      <c r="B132" s="55">
        <v>0.16830000000000001</v>
      </c>
      <c r="C132" s="52">
        <v>0.30109999999999998</v>
      </c>
      <c r="D132" s="52">
        <v>0.1167</v>
      </c>
      <c r="E132" s="53">
        <v>5.4</v>
      </c>
      <c r="F132" s="53">
        <v>12.6</v>
      </c>
      <c r="G132" s="53">
        <v>41</v>
      </c>
      <c r="H132" s="53">
        <v>46.4</v>
      </c>
      <c r="I132" s="53">
        <v>18</v>
      </c>
    </row>
    <row r="133" spans="1:9" x14ac:dyDescent="0.3">
      <c r="A133" s="51" t="s">
        <v>42</v>
      </c>
      <c r="B133" s="52">
        <v>4.2799999999999998E-2</v>
      </c>
      <c r="C133" s="52">
        <v>4.5999999999999999E-2</v>
      </c>
      <c r="D133" s="52">
        <v>0.04</v>
      </c>
      <c r="E133" s="53">
        <v>1.7</v>
      </c>
      <c r="F133" s="53">
        <v>36.299999999999997</v>
      </c>
      <c r="G133" s="53">
        <v>42</v>
      </c>
      <c r="H133" s="53">
        <v>43.7</v>
      </c>
      <c r="I133" s="53">
        <v>38</v>
      </c>
    </row>
    <row r="134" spans="1:9" x14ac:dyDescent="0.3">
      <c r="A134" s="51" t="s">
        <v>43</v>
      </c>
      <c r="B134" s="52">
        <v>4.7600000000000003E-2</v>
      </c>
      <c r="C134" s="52">
        <v>0.5</v>
      </c>
      <c r="D134" s="52">
        <v>2.5000000000000001E-2</v>
      </c>
      <c r="E134" s="53">
        <v>1</v>
      </c>
      <c r="F134" s="53">
        <v>1</v>
      </c>
      <c r="G134" s="53">
        <v>39</v>
      </c>
      <c r="H134" s="53">
        <v>40</v>
      </c>
      <c r="I134" s="53">
        <v>2</v>
      </c>
    </row>
    <row r="135" spans="1:9" x14ac:dyDescent="0.3">
      <c r="A135" s="51" t="s">
        <v>44</v>
      </c>
      <c r="B135" s="52">
        <v>6.9599999999999995E-2</v>
      </c>
      <c r="C135" s="52">
        <v>0.66669999999999996</v>
      </c>
      <c r="D135" s="52">
        <v>3.6700000000000003E-2</v>
      </c>
      <c r="E135" s="53">
        <v>1.3</v>
      </c>
      <c r="F135" s="53">
        <v>0.7</v>
      </c>
      <c r="G135" s="53">
        <v>35</v>
      </c>
      <c r="H135" s="53">
        <v>36.299999999999997</v>
      </c>
      <c r="I135" s="53">
        <v>2</v>
      </c>
    </row>
    <row r="136" spans="1:9" x14ac:dyDescent="0.3">
      <c r="A136" s="51" t="s">
        <v>45</v>
      </c>
      <c r="B136" s="54">
        <v>0</v>
      </c>
      <c r="C136" s="52">
        <v>0</v>
      </c>
      <c r="D136" s="52">
        <v>0</v>
      </c>
      <c r="E136" s="53">
        <v>0</v>
      </c>
      <c r="F136" s="53">
        <v>4</v>
      </c>
      <c r="G136" s="53">
        <v>27</v>
      </c>
      <c r="H136" s="53">
        <v>27</v>
      </c>
      <c r="I136" s="53">
        <v>4</v>
      </c>
    </row>
    <row r="137" spans="1:9" x14ac:dyDescent="0.3">
      <c r="A137" s="51" t="s">
        <v>46</v>
      </c>
      <c r="B137" s="56">
        <v>0.1</v>
      </c>
      <c r="C137" s="52">
        <v>0.5</v>
      </c>
      <c r="D137" s="52">
        <v>5.5599999999999997E-2</v>
      </c>
      <c r="E137" s="53">
        <v>1</v>
      </c>
      <c r="F137" s="53">
        <v>1</v>
      </c>
      <c r="G137" s="53">
        <v>17</v>
      </c>
      <c r="H137" s="53">
        <v>18</v>
      </c>
      <c r="I137" s="53">
        <v>2</v>
      </c>
    </row>
    <row r="138" spans="1:9" x14ac:dyDescent="0.3">
      <c r="A138" s="51" t="s">
        <v>48</v>
      </c>
      <c r="B138" s="54">
        <v>0</v>
      </c>
      <c r="C138" s="52">
        <v>0</v>
      </c>
      <c r="D138" s="52">
        <v>0</v>
      </c>
      <c r="E138" s="53">
        <v>0</v>
      </c>
      <c r="F138" s="53">
        <v>2</v>
      </c>
      <c r="G138" s="53">
        <v>16</v>
      </c>
      <c r="H138" s="53">
        <v>16</v>
      </c>
      <c r="I138" s="53">
        <v>2</v>
      </c>
    </row>
    <row r="139" spans="1:9" x14ac:dyDescent="0.3">
      <c r="A139" s="51" t="s">
        <v>47</v>
      </c>
      <c r="B139" s="55">
        <v>0.21049999999999999</v>
      </c>
      <c r="C139" s="52">
        <v>0.5</v>
      </c>
      <c r="D139" s="52">
        <v>0.1333</v>
      </c>
      <c r="E139" s="53">
        <v>2</v>
      </c>
      <c r="F139" s="53">
        <v>2</v>
      </c>
      <c r="G139" s="53">
        <v>13</v>
      </c>
      <c r="H139" s="53">
        <v>15</v>
      </c>
      <c r="I139" s="53">
        <v>4</v>
      </c>
    </row>
    <row r="140" spans="1:9" x14ac:dyDescent="0.3">
      <c r="A140" s="51" t="s">
        <v>49</v>
      </c>
      <c r="B140" s="54">
        <v>0</v>
      </c>
      <c r="C140" s="52">
        <v>0</v>
      </c>
      <c r="D140" s="52">
        <v>0</v>
      </c>
      <c r="E140" s="53">
        <v>0</v>
      </c>
      <c r="F140" s="53">
        <v>0</v>
      </c>
      <c r="G140" s="53">
        <v>10</v>
      </c>
      <c r="H140" s="53">
        <v>10</v>
      </c>
      <c r="I140" s="53">
        <v>0</v>
      </c>
    </row>
    <row r="141" spans="1:9" x14ac:dyDescent="0.3">
      <c r="A141" s="51" t="s">
        <v>51</v>
      </c>
      <c r="B141" s="52">
        <v>2.7900000000000001E-2</v>
      </c>
      <c r="C141" s="52">
        <v>2.69E-2</v>
      </c>
      <c r="D141" s="52">
        <v>2.9000000000000001E-2</v>
      </c>
      <c r="E141" s="53">
        <v>0.3</v>
      </c>
      <c r="F141" s="53">
        <v>9.6999999999999993</v>
      </c>
      <c r="G141" s="53">
        <v>9</v>
      </c>
      <c r="H141" s="53">
        <v>9.3000000000000007</v>
      </c>
      <c r="I141" s="53">
        <v>10</v>
      </c>
    </row>
    <row r="142" spans="1:9" x14ac:dyDescent="0.3">
      <c r="A142" s="51" t="s">
        <v>50</v>
      </c>
      <c r="B142" s="54">
        <v>0</v>
      </c>
      <c r="C142" s="52">
        <v>0</v>
      </c>
      <c r="D142" s="52">
        <v>0</v>
      </c>
      <c r="E142" s="53">
        <v>0</v>
      </c>
      <c r="F142" s="53">
        <v>1</v>
      </c>
      <c r="G142" s="53">
        <v>8</v>
      </c>
      <c r="H142" s="53">
        <v>8</v>
      </c>
      <c r="I142" s="53">
        <v>1</v>
      </c>
    </row>
    <row r="143" spans="1:9" x14ac:dyDescent="0.3">
      <c r="A143" s="51" t="s">
        <v>52</v>
      </c>
      <c r="B143" s="54">
        <v>0</v>
      </c>
      <c r="C143" s="52">
        <v>0</v>
      </c>
      <c r="D143" s="52">
        <v>0</v>
      </c>
      <c r="E143" s="53">
        <v>0</v>
      </c>
      <c r="F143" s="53">
        <v>6</v>
      </c>
      <c r="G143" s="53">
        <v>6</v>
      </c>
      <c r="H143" s="53">
        <v>6</v>
      </c>
      <c r="I143" s="53">
        <v>6</v>
      </c>
    </row>
    <row r="144" spans="1:9" x14ac:dyDescent="0.3">
      <c r="A144" s="51" t="s">
        <v>53</v>
      </c>
      <c r="B144" s="54">
        <v>0</v>
      </c>
      <c r="C144" s="52">
        <v>0</v>
      </c>
      <c r="D144" s="52">
        <v>0</v>
      </c>
      <c r="E144" s="53">
        <v>0</v>
      </c>
      <c r="F144" s="53">
        <v>1</v>
      </c>
      <c r="G144" s="53">
        <v>3</v>
      </c>
      <c r="H144" s="53">
        <v>3</v>
      </c>
      <c r="I144" s="53">
        <v>1</v>
      </c>
    </row>
    <row r="146" spans="1:9" x14ac:dyDescent="0.3">
      <c r="A146" s="57" t="s">
        <v>54</v>
      </c>
      <c r="B146" s="58">
        <v>3.6700000000000003E-2</v>
      </c>
      <c r="C146" s="58">
        <v>0.15629999999999999</v>
      </c>
      <c r="D146" s="58">
        <v>2.0799999999999999E-2</v>
      </c>
      <c r="E146" s="59">
        <v>35.6</v>
      </c>
      <c r="F146" s="59">
        <v>192.4</v>
      </c>
      <c r="G146" s="59">
        <v>1679</v>
      </c>
      <c r="H146" s="57">
        <v>1727</v>
      </c>
      <c r="I146" s="57">
        <v>228</v>
      </c>
    </row>
    <row r="147" spans="1:9" x14ac:dyDescent="0.3">
      <c r="A147" s="57" t="s">
        <v>55</v>
      </c>
      <c r="B147" s="58">
        <v>4.02E-2</v>
      </c>
      <c r="C147" s="60"/>
      <c r="D147" s="60"/>
      <c r="E147" s="60"/>
      <c r="F147" s="60"/>
      <c r="G147" s="60"/>
      <c r="H147" s="60"/>
      <c r="I147" s="60"/>
    </row>
    <row r="149" spans="1:9" ht="15.6" x14ac:dyDescent="0.3">
      <c r="A149" s="86" t="s">
        <v>84</v>
      </c>
      <c r="B149" s="61"/>
      <c r="C149" s="61"/>
      <c r="D149" s="61"/>
      <c r="E149" s="61"/>
      <c r="F149" s="61"/>
      <c r="G149" s="61"/>
      <c r="H149" s="61"/>
      <c r="I149" s="61"/>
    </row>
    <row r="150" spans="1:9" x14ac:dyDescent="0.3">
      <c r="A150" s="62" t="s">
        <v>24</v>
      </c>
      <c r="B150" s="62" t="s">
        <v>25</v>
      </c>
      <c r="C150" s="62" t="s">
        <v>5</v>
      </c>
      <c r="D150" s="62" t="s">
        <v>6</v>
      </c>
      <c r="E150" s="62" t="s">
        <v>26</v>
      </c>
      <c r="F150" s="62" t="s">
        <v>27</v>
      </c>
      <c r="G150" s="62" t="s">
        <v>28</v>
      </c>
      <c r="H150" s="62" t="s">
        <v>29</v>
      </c>
      <c r="I150" s="62" t="s">
        <v>30</v>
      </c>
    </row>
    <row r="151" spans="1:9" x14ac:dyDescent="0.3">
      <c r="A151" s="63" t="s">
        <v>31</v>
      </c>
      <c r="B151" s="64">
        <v>0.20680000000000001</v>
      </c>
      <c r="C151" s="65">
        <v>0.15509999999999999</v>
      </c>
      <c r="D151" s="65">
        <v>0.31040000000000001</v>
      </c>
      <c r="E151" s="66">
        <v>87.3</v>
      </c>
      <c r="F151" s="66">
        <v>475.7</v>
      </c>
      <c r="G151" s="66">
        <v>194</v>
      </c>
      <c r="H151" s="66">
        <v>281.3</v>
      </c>
      <c r="I151" s="66">
        <v>563</v>
      </c>
    </row>
    <row r="152" spans="1:9" x14ac:dyDescent="0.3">
      <c r="A152" s="63" t="s">
        <v>32</v>
      </c>
      <c r="B152" s="65">
        <v>5.9700000000000003E-2</v>
      </c>
      <c r="C152" s="65">
        <v>3.1600000000000003E-2</v>
      </c>
      <c r="D152" s="65">
        <v>0.54349999999999998</v>
      </c>
      <c r="E152" s="66">
        <v>123.8</v>
      </c>
      <c r="F152" s="66">
        <v>3793.2</v>
      </c>
      <c r="G152" s="66">
        <v>104</v>
      </c>
      <c r="H152" s="66">
        <v>227.8</v>
      </c>
      <c r="I152" s="66">
        <v>3917</v>
      </c>
    </row>
    <row r="153" spans="1:9" x14ac:dyDescent="0.3">
      <c r="A153" s="63" t="s">
        <v>33</v>
      </c>
      <c r="B153" s="67">
        <v>0.11020000000000001</v>
      </c>
      <c r="C153" s="65">
        <v>6.2899999999999998E-2</v>
      </c>
      <c r="D153" s="65">
        <v>0.44540000000000002</v>
      </c>
      <c r="E153" s="66">
        <v>85.1</v>
      </c>
      <c r="F153" s="66">
        <v>1268.9000000000001</v>
      </c>
      <c r="G153" s="66">
        <v>106</v>
      </c>
      <c r="H153" s="66">
        <v>191.1</v>
      </c>
      <c r="I153" s="66">
        <v>1354</v>
      </c>
    </row>
    <row r="154" spans="1:9" x14ac:dyDescent="0.3">
      <c r="A154" s="63" t="s">
        <v>34</v>
      </c>
      <c r="B154" s="64">
        <v>0.1799</v>
      </c>
      <c r="C154" s="65">
        <v>0.11940000000000001</v>
      </c>
      <c r="D154" s="65">
        <v>0.36520000000000002</v>
      </c>
      <c r="E154" s="66">
        <v>41.4</v>
      </c>
      <c r="F154" s="66">
        <v>305.60000000000002</v>
      </c>
      <c r="G154" s="66">
        <v>72</v>
      </c>
      <c r="H154" s="66">
        <v>113.4</v>
      </c>
      <c r="I154" s="66">
        <v>347</v>
      </c>
    </row>
    <row r="155" spans="1:9" x14ac:dyDescent="0.3">
      <c r="A155" s="63" t="s">
        <v>35</v>
      </c>
      <c r="B155" s="65">
        <v>3.5299999999999998E-2</v>
      </c>
      <c r="C155" s="65">
        <v>3.73E-2</v>
      </c>
      <c r="D155" s="65">
        <v>3.3500000000000002E-2</v>
      </c>
      <c r="E155" s="66">
        <v>3.4</v>
      </c>
      <c r="F155" s="66">
        <v>88.6</v>
      </c>
      <c r="G155" s="66">
        <v>99</v>
      </c>
      <c r="H155" s="66">
        <v>102.4</v>
      </c>
      <c r="I155" s="66">
        <v>92</v>
      </c>
    </row>
    <row r="156" spans="1:9" x14ac:dyDescent="0.3">
      <c r="A156" s="63" t="s">
        <v>36</v>
      </c>
      <c r="B156" s="64">
        <v>0.1532</v>
      </c>
      <c r="C156" s="65">
        <v>9.1899999999999996E-2</v>
      </c>
      <c r="D156" s="65">
        <v>0.46010000000000001</v>
      </c>
      <c r="E156" s="66">
        <v>46.9</v>
      </c>
      <c r="F156" s="66">
        <v>463.1</v>
      </c>
      <c r="G156" s="66">
        <v>55</v>
      </c>
      <c r="H156" s="66">
        <v>101.9</v>
      </c>
      <c r="I156" s="66">
        <v>510</v>
      </c>
    </row>
    <row r="157" spans="1:9" x14ac:dyDescent="0.3">
      <c r="A157" s="63" t="s">
        <v>37</v>
      </c>
      <c r="B157" s="65">
        <v>4.6600000000000003E-2</v>
      </c>
      <c r="C157" s="65">
        <v>2.4299999999999999E-2</v>
      </c>
      <c r="D157" s="65">
        <v>0.58230000000000004</v>
      </c>
      <c r="E157" s="66">
        <v>50.2</v>
      </c>
      <c r="F157" s="66">
        <v>2017.8</v>
      </c>
      <c r="G157" s="66">
        <v>36</v>
      </c>
      <c r="H157" s="66">
        <v>86.2</v>
      </c>
      <c r="I157" s="66">
        <v>2068</v>
      </c>
    </row>
    <row r="158" spans="1:9" x14ac:dyDescent="0.3">
      <c r="A158" s="63" t="s">
        <v>38</v>
      </c>
      <c r="B158" s="67">
        <v>0.14990000000000001</v>
      </c>
      <c r="C158" s="65">
        <v>0.14280000000000001</v>
      </c>
      <c r="D158" s="65">
        <v>0.1578</v>
      </c>
      <c r="E158" s="66">
        <v>9</v>
      </c>
      <c r="F158" s="66">
        <v>54</v>
      </c>
      <c r="G158" s="66">
        <v>48</v>
      </c>
      <c r="H158" s="66">
        <v>57</v>
      </c>
      <c r="I158" s="66">
        <v>63</v>
      </c>
    </row>
    <row r="159" spans="1:9" x14ac:dyDescent="0.3">
      <c r="A159" s="63" t="s">
        <v>39</v>
      </c>
      <c r="B159" s="64">
        <v>0.21490000000000001</v>
      </c>
      <c r="C159" s="65">
        <v>0.1666</v>
      </c>
      <c r="D159" s="65">
        <v>0.30270000000000002</v>
      </c>
      <c r="E159" s="66">
        <v>14.3</v>
      </c>
      <c r="F159" s="66">
        <v>71.7</v>
      </c>
      <c r="G159" s="66">
        <v>33</v>
      </c>
      <c r="H159" s="66">
        <v>47.3</v>
      </c>
      <c r="I159" s="66">
        <v>86</v>
      </c>
    </row>
    <row r="160" spans="1:9" x14ac:dyDescent="0.3">
      <c r="A160" s="63" t="s">
        <v>40</v>
      </c>
      <c r="B160" s="67">
        <v>0.1242</v>
      </c>
      <c r="C160" s="65">
        <v>8.3299999999999999E-2</v>
      </c>
      <c r="D160" s="65">
        <v>0.2445</v>
      </c>
      <c r="E160" s="66">
        <v>11.3</v>
      </c>
      <c r="F160" s="66">
        <v>124.7</v>
      </c>
      <c r="G160" s="66">
        <v>35</v>
      </c>
      <c r="H160" s="66">
        <v>46.3</v>
      </c>
      <c r="I160" s="66">
        <v>136</v>
      </c>
    </row>
    <row r="161" spans="1:9" x14ac:dyDescent="0.3">
      <c r="A161" s="63" t="s">
        <v>41</v>
      </c>
      <c r="B161" s="65">
        <v>5.3100000000000001E-2</v>
      </c>
      <c r="C161" s="65">
        <v>2.9600000000000001E-2</v>
      </c>
      <c r="D161" s="65">
        <v>0.25469999999999998</v>
      </c>
      <c r="E161" s="66">
        <v>10.3</v>
      </c>
      <c r="F161" s="66">
        <v>335.7</v>
      </c>
      <c r="G161" s="66">
        <v>30</v>
      </c>
      <c r="H161" s="66">
        <v>40.299999999999997</v>
      </c>
      <c r="I161" s="66">
        <v>346</v>
      </c>
    </row>
    <row r="162" spans="1:9" x14ac:dyDescent="0.3">
      <c r="A162" s="63" t="s">
        <v>43</v>
      </c>
      <c r="B162" s="65">
        <v>6.4399999999999999E-2</v>
      </c>
      <c r="C162" s="65">
        <v>3.7900000000000003E-2</v>
      </c>
      <c r="D162" s="65">
        <v>0.21299999999999999</v>
      </c>
      <c r="E162" s="66">
        <v>8.1</v>
      </c>
      <c r="F162" s="66">
        <v>205.9</v>
      </c>
      <c r="G162" s="66">
        <v>30</v>
      </c>
      <c r="H162" s="66">
        <v>38.1</v>
      </c>
      <c r="I162" s="66">
        <v>214</v>
      </c>
    </row>
    <row r="163" spans="1:9" x14ac:dyDescent="0.3">
      <c r="A163" s="63" t="s">
        <v>42</v>
      </c>
      <c r="B163" s="67">
        <v>8.7400000000000005E-2</v>
      </c>
      <c r="C163" s="65">
        <v>5.0099999999999999E-2</v>
      </c>
      <c r="D163" s="65">
        <v>0.34200000000000003</v>
      </c>
      <c r="E163" s="66">
        <v>12.5</v>
      </c>
      <c r="F163" s="66">
        <v>236.5</v>
      </c>
      <c r="G163" s="66">
        <v>24</v>
      </c>
      <c r="H163" s="66">
        <v>36.5</v>
      </c>
      <c r="I163" s="66">
        <v>249</v>
      </c>
    </row>
    <row r="164" spans="1:9" x14ac:dyDescent="0.3">
      <c r="A164" s="63" t="s">
        <v>44</v>
      </c>
      <c r="B164" s="67">
        <v>7.1599999999999997E-2</v>
      </c>
      <c r="C164" s="65">
        <v>4.4900000000000002E-2</v>
      </c>
      <c r="D164" s="65">
        <v>0.17660000000000001</v>
      </c>
      <c r="E164" s="66">
        <v>5.8</v>
      </c>
      <c r="F164" s="66">
        <v>123.2</v>
      </c>
      <c r="G164" s="66">
        <v>27</v>
      </c>
      <c r="H164" s="66">
        <v>32.799999999999997</v>
      </c>
      <c r="I164" s="66">
        <v>129</v>
      </c>
    </row>
    <row r="165" spans="1:9" x14ac:dyDescent="0.3">
      <c r="A165" s="63" t="s">
        <v>45</v>
      </c>
      <c r="B165" s="67">
        <v>0.13980000000000001</v>
      </c>
      <c r="C165" s="65">
        <v>9.5600000000000004E-2</v>
      </c>
      <c r="D165" s="65">
        <v>0.26040000000000002</v>
      </c>
      <c r="E165" s="66">
        <v>6.7</v>
      </c>
      <c r="F165" s="66">
        <v>63.3</v>
      </c>
      <c r="G165" s="66">
        <v>19</v>
      </c>
      <c r="H165" s="66">
        <v>25.7</v>
      </c>
      <c r="I165" s="66">
        <v>70</v>
      </c>
    </row>
    <row r="166" spans="1:9" x14ac:dyDescent="0.3">
      <c r="A166" s="63" t="s">
        <v>47</v>
      </c>
      <c r="B166" s="68">
        <v>0</v>
      </c>
      <c r="C166" s="65">
        <v>0</v>
      </c>
      <c r="D166" s="65">
        <v>0</v>
      </c>
      <c r="E166" s="66">
        <v>0</v>
      </c>
      <c r="F166" s="66">
        <v>32</v>
      </c>
      <c r="G166" s="66">
        <v>15</v>
      </c>
      <c r="H166" s="66">
        <v>15</v>
      </c>
      <c r="I166" s="66">
        <v>32</v>
      </c>
    </row>
    <row r="167" spans="1:9" x14ac:dyDescent="0.3">
      <c r="A167" s="63" t="s">
        <v>48</v>
      </c>
      <c r="B167" s="67">
        <v>8.3099999999999993E-2</v>
      </c>
      <c r="C167" s="65">
        <v>4.6600000000000003E-2</v>
      </c>
      <c r="D167" s="65">
        <v>0.38150000000000001</v>
      </c>
      <c r="E167" s="66">
        <v>5.6</v>
      </c>
      <c r="F167" s="66">
        <v>113.4</v>
      </c>
      <c r="G167" s="66">
        <v>9</v>
      </c>
      <c r="H167" s="66">
        <v>14.6</v>
      </c>
      <c r="I167" s="66">
        <v>119</v>
      </c>
    </row>
    <row r="168" spans="1:9" x14ac:dyDescent="0.3">
      <c r="A168" s="63" t="s">
        <v>46</v>
      </c>
      <c r="B168" s="67">
        <v>8.0799999999999997E-2</v>
      </c>
      <c r="C168" s="65">
        <v>4.5199999999999997E-2</v>
      </c>
      <c r="D168" s="65">
        <v>0.38319999999999999</v>
      </c>
      <c r="E168" s="66">
        <v>5</v>
      </c>
      <c r="F168" s="66">
        <v>105</v>
      </c>
      <c r="G168" s="66">
        <v>8</v>
      </c>
      <c r="H168" s="66">
        <v>13</v>
      </c>
      <c r="I168" s="66">
        <v>110</v>
      </c>
    </row>
    <row r="169" spans="1:9" x14ac:dyDescent="0.3">
      <c r="A169" s="63" t="s">
        <v>49</v>
      </c>
      <c r="B169" s="65">
        <v>1.7600000000000001E-2</v>
      </c>
      <c r="C169" s="65">
        <v>1.0999999999999999E-2</v>
      </c>
      <c r="D169" s="65">
        <v>4.4299999999999999E-2</v>
      </c>
      <c r="E169" s="66">
        <v>0.4</v>
      </c>
      <c r="F169" s="66">
        <v>37.6</v>
      </c>
      <c r="G169" s="66">
        <v>9</v>
      </c>
      <c r="H169" s="66">
        <v>9.4</v>
      </c>
      <c r="I169" s="66">
        <v>38</v>
      </c>
    </row>
    <row r="170" spans="1:9" x14ac:dyDescent="0.3">
      <c r="A170" s="63" t="s">
        <v>50</v>
      </c>
      <c r="B170" s="68">
        <v>0</v>
      </c>
      <c r="C170" s="65">
        <v>0</v>
      </c>
      <c r="D170" s="65">
        <v>0</v>
      </c>
      <c r="E170" s="66">
        <v>0</v>
      </c>
      <c r="F170" s="66">
        <v>15</v>
      </c>
      <c r="G170" s="66">
        <v>8</v>
      </c>
      <c r="H170" s="66">
        <v>8</v>
      </c>
      <c r="I170" s="66">
        <v>15</v>
      </c>
    </row>
    <row r="171" spans="1:9" x14ac:dyDescent="0.3">
      <c r="A171" s="63" t="s">
        <v>51</v>
      </c>
      <c r="B171" s="65">
        <v>4.2999999999999997E-2</v>
      </c>
      <c r="C171" s="65">
        <v>2.2200000000000001E-2</v>
      </c>
      <c r="D171" s="65">
        <v>0.72760000000000002</v>
      </c>
      <c r="E171" s="66">
        <v>5.3</v>
      </c>
      <c r="F171" s="66">
        <v>235.7</v>
      </c>
      <c r="G171" s="66">
        <v>2</v>
      </c>
      <c r="H171" s="66">
        <v>7.3</v>
      </c>
      <c r="I171" s="66">
        <v>241</v>
      </c>
    </row>
    <row r="172" spans="1:9" x14ac:dyDescent="0.3">
      <c r="A172" s="63" t="s">
        <v>52</v>
      </c>
      <c r="B172" s="65">
        <v>5.7000000000000002E-3</v>
      </c>
      <c r="C172" s="65">
        <v>3.0000000000000001E-3</v>
      </c>
      <c r="D172" s="65">
        <v>5.3600000000000002E-2</v>
      </c>
      <c r="E172" s="66">
        <v>0.3</v>
      </c>
      <c r="F172" s="66">
        <v>93.7</v>
      </c>
      <c r="G172" s="66">
        <v>5</v>
      </c>
      <c r="H172" s="66">
        <v>5.3</v>
      </c>
      <c r="I172" s="66">
        <v>94</v>
      </c>
    </row>
    <row r="173" spans="1:9" x14ac:dyDescent="0.3">
      <c r="A173" s="63" t="s">
        <v>53</v>
      </c>
      <c r="B173" s="68">
        <v>0</v>
      </c>
      <c r="C173" s="65">
        <v>0</v>
      </c>
      <c r="D173" s="65">
        <v>0</v>
      </c>
      <c r="E173" s="66">
        <v>0</v>
      </c>
      <c r="F173" s="66">
        <v>11</v>
      </c>
      <c r="G173" s="66">
        <v>3</v>
      </c>
      <c r="H173" s="66">
        <v>3</v>
      </c>
      <c r="I173" s="66">
        <v>11</v>
      </c>
    </row>
    <row r="175" spans="1:9" x14ac:dyDescent="0.3">
      <c r="A175" s="69" t="s">
        <v>54</v>
      </c>
      <c r="B175" s="70">
        <v>0.13389999999999999</v>
      </c>
      <c r="C175" s="70">
        <v>0.10100000000000001</v>
      </c>
      <c r="D175" s="70">
        <v>0.19900000000000001</v>
      </c>
      <c r="E175" s="71"/>
      <c r="F175" s="71"/>
      <c r="G175" s="71"/>
      <c r="H175" s="71"/>
      <c r="I175" s="71"/>
    </row>
    <row r="176" spans="1:9" x14ac:dyDescent="0.3">
      <c r="A176" s="69" t="s">
        <v>55</v>
      </c>
      <c r="B176" s="70">
        <v>0.1031</v>
      </c>
      <c r="C176" s="71"/>
      <c r="D176" s="71"/>
      <c r="E176" s="71"/>
      <c r="F176" s="71"/>
      <c r="G176" s="71"/>
      <c r="H176" s="71"/>
      <c r="I176" s="71"/>
    </row>
    <row r="178" spans="1:9" ht="15.6" x14ac:dyDescent="0.3">
      <c r="A178" s="86" t="s">
        <v>83</v>
      </c>
      <c r="B178" s="61"/>
      <c r="C178" s="61"/>
      <c r="D178" s="61"/>
      <c r="E178" s="61"/>
      <c r="F178" s="61"/>
      <c r="G178" s="61"/>
      <c r="H178" s="61"/>
      <c r="I178" s="61"/>
    </row>
    <row r="179" spans="1:9" x14ac:dyDescent="0.3">
      <c r="A179" s="62" t="s">
        <v>24</v>
      </c>
      <c r="B179" s="62" t="s">
        <v>25</v>
      </c>
      <c r="C179" s="62" t="s">
        <v>5</v>
      </c>
      <c r="D179" s="62" t="s">
        <v>6</v>
      </c>
      <c r="E179" s="62" t="s">
        <v>26</v>
      </c>
      <c r="F179" s="62" t="s">
        <v>27</v>
      </c>
      <c r="G179" s="62" t="s">
        <v>28</v>
      </c>
      <c r="H179" s="62" t="s">
        <v>29</v>
      </c>
      <c r="I179" s="62" t="s">
        <v>30</v>
      </c>
    </row>
    <row r="180" spans="1:9" x14ac:dyDescent="0.3">
      <c r="A180" s="63" t="s">
        <v>31</v>
      </c>
      <c r="B180" s="64">
        <v>0.1807</v>
      </c>
      <c r="C180" s="65">
        <v>0.12330000000000001</v>
      </c>
      <c r="D180" s="65">
        <v>0.33789999999999998</v>
      </c>
      <c r="E180" s="66">
        <v>88.8</v>
      </c>
      <c r="F180" s="66">
        <v>631.20000000000005</v>
      </c>
      <c r="G180" s="66">
        <v>174</v>
      </c>
      <c r="H180" s="66">
        <v>262.8</v>
      </c>
      <c r="I180" s="66">
        <v>720</v>
      </c>
    </row>
    <row r="181" spans="1:9" x14ac:dyDescent="0.3">
      <c r="A181" s="63" t="s">
        <v>32</v>
      </c>
      <c r="B181" s="65">
        <v>4.99E-2</v>
      </c>
      <c r="C181" s="65">
        <v>2.64E-2</v>
      </c>
      <c r="D181" s="65">
        <v>0.46550000000000002</v>
      </c>
      <c r="E181" s="66">
        <v>108</v>
      </c>
      <c r="F181" s="66">
        <v>3989</v>
      </c>
      <c r="G181" s="66">
        <v>124</v>
      </c>
      <c r="H181" s="66">
        <v>232</v>
      </c>
      <c r="I181" s="66">
        <v>4097</v>
      </c>
    </row>
    <row r="182" spans="1:9" x14ac:dyDescent="0.3">
      <c r="A182" s="63" t="s">
        <v>33</v>
      </c>
      <c r="B182" s="67">
        <v>9.3200000000000005E-2</v>
      </c>
      <c r="C182" s="65">
        <v>5.4600000000000003E-2</v>
      </c>
      <c r="D182" s="65">
        <v>0.31819999999999998</v>
      </c>
      <c r="E182" s="66">
        <v>62.5</v>
      </c>
      <c r="F182" s="66">
        <v>1083.5</v>
      </c>
      <c r="G182" s="66">
        <v>134</v>
      </c>
      <c r="H182" s="66">
        <v>196.5</v>
      </c>
      <c r="I182" s="66">
        <v>1146</v>
      </c>
    </row>
    <row r="183" spans="1:9" x14ac:dyDescent="0.3">
      <c r="A183" s="63" t="s">
        <v>34</v>
      </c>
      <c r="B183" s="64">
        <v>0.15740000000000001</v>
      </c>
      <c r="C183" s="65">
        <v>0.1079</v>
      </c>
      <c r="D183" s="65">
        <v>0.2908</v>
      </c>
      <c r="E183" s="66">
        <v>32.799999999999997</v>
      </c>
      <c r="F183" s="66">
        <v>271.2</v>
      </c>
      <c r="G183" s="66">
        <v>80</v>
      </c>
      <c r="H183" s="66">
        <v>112.8</v>
      </c>
      <c r="I183" s="66">
        <v>304</v>
      </c>
    </row>
    <row r="184" spans="1:9" x14ac:dyDescent="0.3">
      <c r="A184" s="63" t="s">
        <v>35</v>
      </c>
      <c r="B184" s="65">
        <v>1.6E-2</v>
      </c>
      <c r="C184" s="65">
        <v>1.2500000000000001E-2</v>
      </c>
      <c r="D184" s="65">
        <v>2.2200000000000001E-2</v>
      </c>
      <c r="E184" s="66">
        <v>2.2999999999999998</v>
      </c>
      <c r="F184" s="66">
        <v>180.7</v>
      </c>
      <c r="G184" s="66">
        <v>101</v>
      </c>
      <c r="H184" s="66">
        <v>103.3</v>
      </c>
      <c r="I184" s="66">
        <v>183</v>
      </c>
    </row>
    <row r="185" spans="1:9" x14ac:dyDescent="0.3">
      <c r="A185" s="63" t="s">
        <v>36</v>
      </c>
      <c r="B185" s="67">
        <v>0.12640000000000001</v>
      </c>
      <c r="C185" s="65">
        <v>7.4700000000000003E-2</v>
      </c>
      <c r="D185" s="65">
        <v>0.40849999999999997</v>
      </c>
      <c r="E185" s="66">
        <v>40.1</v>
      </c>
      <c r="F185" s="66">
        <v>495.9</v>
      </c>
      <c r="G185" s="66">
        <v>58</v>
      </c>
      <c r="H185" s="66">
        <v>98.1</v>
      </c>
      <c r="I185" s="66">
        <v>536</v>
      </c>
    </row>
    <row r="186" spans="1:9" x14ac:dyDescent="0.3">
      <c r="A186" s="63" t="s">
        <v>37</v>
      </c>
      <c r="B186" s="65">
        <v>5.28E-2</v>
      </c>
      <c r="C186" s="65">
        <v>2.76E-2</v>
      </c>
      <c r="D186" s="65">
        <v>0.60509999999999997</v>
      </c>
      <c r="E186" s="66">
        <v>52.1</v>
      </c>
      <c r="F186" s="66">
        <v>1836.9</v>
      </c>
      <c r="G186" s="66">
        <v>34</v>
      </c>
      <c r="H186" s="66">
        <v>86.1</v>
      </c>
      <c r="I186" s="66">
        <v>1889</v>
      </c>
    </row>
    <row r="187" spans="1:9" x14ac:dyDescent="0.3">
      <c r="A187" s="63" t="s">
        <v>38</v>
      </c>
      <c r="B187" s="67">
        <v>7.5499999999999998E-2</v>
      </c>
      <c r="C187" s="65">
        <v>4.82E-2</v>
      </c>
      <c r="D187" s="65">
        <v>0.1736</v>
      </c>
      <c r="E187" s="66">
        <v>9.5</v>
      </c>
      <c r="F187" s="66">
        <v>186.5</v>
      </c>
      <c r="G187" s="66">
        <v>45</v>
      </c>
      <c r="H187" s="66">
        <v>54.5</v>
      </c>
      <c r="I187" s="66">
        <v>196</v>
      </c>
    </row>
    <row r="188" spans="1:9" x14ac:dyDescent="0.3">
      <c r="A188" s="63" t="s">
        <v>39</v>
      </c>
      <c r="B188" s="64">
        <v>0.19839999999999999</v>
      </c>
      <c r="C188" s="65">
        <v>0.1484</v>
      </c>
      <c r="D188" s="65">
        <v>0.29930000000000001</v>
      </c>
      <c r="E188" s="66">
        <v>14.1</v>
      </c>
      <c r="F188" s="66">
        <v>80.900000000000006</v>
      </c>
      <c r="G188" s="66">
        <v>33</v>
      </c>
      <c r="H188" s="66">
        <v>47.1</v>
      </c>
      <c r="I188" s="66">
        <v>95</v>
      </c>
    </row>
    <row r="189" spans="1:9" x14ac:dyDescent="0.3">
      <c r="A189" s="63" t="s">
        <v>40</v>
      </c>
      <c r="B189" s="67">
        <v>8.8800000000000004E-2</v>
      </c>
      <c r="C189" s="65">
        <v>5.4399999999999997E-2</v>
      </c>
      <c r="D189" s="65">
        <v>0.2424</v>
      </c>
      <c r="E189" s="66">
        <v>11.2</v>
      </c>
      <c r="F189" s="66">
        <v>194.8</v>
      </c>
      <c r="G189" s="66">
        <v>35</v>
      </c>
      <c r="H189" s="66">
        <v>46.2</v>
      </c>
      <c r="I189" s="66">
        <v>206</v>
      </c>
    </row>
    <row r="190" spans="1:9" x14ac:dyDescent="0.3">
      <c r="A190" s="63" t="s">
        <v>41</v>
      </c>
      <c r="B190" s="65">
        <v>2.52E-2</v>
      </c>
      <c r="C190" s="65">
        <v>1.37E-2</v>
      </c>
      <c r="D190" s="65">
        <v>0.15479999999999999</v>
      </c>
      <c r="E190" s="66">
        <v>6.6</v>
      </c>
      <c r="F190" s="66">
        <v>474.4</v>
      </c>
      <c r="G190" s="66">
        <v>36</v>
      </c>
      <c r="H190" s="66">
        <v>42.6</v>
      </c>
      <c r="I190" s="66">
        <v>481</v>
      </c>
    </row>
    <row r="191" spans="1:9" x14ac:dyDescent="0.3">
      <c r="A191" s="63" t="s">
        <v>43</v>
      </c>
      <c r="B191" s="65">
        <v>4.4200000000000003E-2</v>
      </c>
      <c r="C191" s="65">
        <v>2.4199999999999999E-2</v>
      </c>
      <c r="D191" s="65">
        <v>0.25409999999999999</v>
      </c>
      <c r="E191" s="66">
        <v>9.5</v>
      </c>
      <c r="F191" s="66">
        <v>384.5</v>
      </c>
      <c r="G191" s="66">
        <v>28</v>
      </c>
      <c r="H191" s="66">
        <v>37.5</v>
      </c>
      <c r="I191" s="66">
        <v>394</v>
      </c>
    </row>
    <row r="192" spans="1:9" x14ac:dyDescent="0.3">
      <c r="A192" s="63" t="s">
        <v>42</v>
      </c>
      <c r="B192" s="67">
        <v>9.3100000000000002E-2</v>
      </c>
      <c r="C192" s="65">
        <v>5.3100000000000001E-2</v>
      </c>
      <c r="D192" s="65">
        <v>0.37830000000000003</v>
      </c>
      <c r="E192" s="66">
        <v>13.4</v>
      </c>
      <c r="F192" s="66">
        <v>238.6</v>
      </c>
      <c r="G192" s="66">
        <v>22</v>
      </c>
      <c r="H192" s="66">
        <v>35.4</v>
      </c>
      <c r="I192" s="66">
        <v>252</v>
      </c>
    </row>
    <row r="193" spans="1:9" x14ac:dyDescent="0.3">
      <c r="A193" s="63" t="s">
        <v>44</v>
      </c>
      <c r="B193" s="65">
        <v>5.0099999999999999E-2</v>
      </c>
      <c r="C193" s="65">
        <v>2.9499999999999998E-2</v>
      </c>
      <c r="D193" s="65">
        <v>0.16600000000000001</v>
      </c>
      <c r="E193" s="66">
        <v>5.6</v>
      </c>
      <c r="F193" s="66">
        <v>183.4</v>
      </c>
      <c r="G193" s="66">
        <v>28</v>
      </c>
      <c r="H193" s="66">
        <v>33.6</v>
      </c>
      <c r="I193" s="66">
        <v>189</v>
      </c>
    </row>
    <row r="194" spans="1:9" x14ac:dyDescent="0.3">
      <c r="A194" s="63" t="s">
        <v>45</v>
      </c>
      <c r="B194" s="65">
        <v>6.9099999999999995E-2</v>
      </c>
      <c r="C194" s="65">
        <v>4.0500000000000001E-2</v>
      </c>
      <c r="D194" s="65">
        <v>0.23680000000000001</v>
      </c>
      <c r="E194" s="66">
        <v>5.6</v>
      </c>
      <c r="F194" s="66">
        <v>132.4</v>
      </c>
      <c r="G194" s="66">
        <v>18</v>
      </c>
      <c r="H194" s="66">
        <v>23.6</v>
      </c>
      <c r="I194" s="66">
        <v>138</v>
      </c>
    </row>
    <row r="195" spans="1:9" x14ac:dyDescent="0.3">
      <c r="A195" s="63" t="s">
        <v>46</v>
      </c>
      <c r="B195" s="65">
        <v>3.4000000000000002E-2</v>
      </c>
      <c r="C195" s="65">
        <v>1.8700000000000001E-2</v>
      </c>
      <c r="D195" s="65">
        <v>0.1875</v>
      </c>
      <c r="E195" s="66">
        <v>2.8</v>
      </c>
      <c r="F195" s="66">
        <v>145.19999999999999</v>
      </c>
      <c r="G195" s="66">
        <v>12</v>
      </c>
      <c r="H195" s="66">
        <v>14.8</v>
      </c>
      <c r="I195" s="66">
        <v>148</v>
      </c>
    </row>
    <row r="196" spans="1:9" x14ac:dyDescent="0.3">
      <c r="A196" s="63" t="s">
        <v>47</v>
      </c>
      <c r="B196" s="65">
        <v>1.72E-2</v>
      </c>
      <c r="C196" s="65">
        <v>9.4000000000000004E-3</v>
      </c>
      <c r="D196" s="65">
        <v>9.5200000000000007E-2</v>
      </c>
      <c r="E196" s="66">
        <v>1.4</v>
      </c>
      <c r="F196" s="66">
        <v>143.6</v>
      </c>
      <c r="G196" s="66">
        <v>13</v>
      </c>
      <c r="H196" s="66">
        <v>14.4</v>
      </c>
      <c r="I196" s="66">
        <v>145</v>
      </c>
    </row>
    <row r="197" spans="1:9" x14ac:dyDescent="0.3">
      <c r="A197" s="63" t="s">
        <v>48</v>
      </c>
      <c r="B197" s="67">
        <v>7.0999999999999994E-2</v>
      </c>
      <c r="C197" s="65">
        <v>4.02E-2</v>
      </c>
      <c r="D197" s="65">
        <v>0.3024</v>
      </c>
      <c r="E197" s="66">
        <v>3.9</v>
      </c>
      <c r="F197" s="66">
        <v>93.1</v>
      </c>
      <c r="G197" s="66">
        <v>9</v>
      </c>
      <c r="H197" s="66">
        <v>12.9</v>
      </c>
      <c r="I197" s="66">
        <v>97</v>
      </c>
    </row>
    <row r="198" spans="1:9" x14ac:dyDescent="0.3">
      <c r="A198" s="63" t="s">
        <v>49</v>
      </c>
      <c r="B198" s="68">
        <v>0</v>
      </c>
      <c r="C198" s="65">
        <v>0</v>
      </c>
      <c r="D198" s="65">
        <v>0</v>
      </c>
      <c r="E198" s="66">
        <v>0</v>
      </c>
      <c r="F198" s="66">
        <v>31</v>
      </c>
      <c r="G198" s="66">
        <v>10</v>
      </c>
      <c r="H198" s="66">
        <v>10</v>
      </c>
      <c r="I198" s="66">
        <v>31</v>
      </c>
    </row>
    <row r="199" spans="1:9" x14ac:dyDescent="0.3">
      <c r="A199" s="63" t="s">
        <v>51</v>
      </c>
      <c r="B199" s="65">
        <v>6.3399999999999998E-2</v>
      </c>
      <c r="C199" s="65">
        <v>3.2899999999999999E-2</v>
      </c>
      <c r="D199" s="65">
        <v>0.87809999999999999</v>
      </c>
      <c r="E199" s="66">
        <v>7.2</v>
      </c>
      <c r="F199" s="66">
        <v>211.8</v>
      </c>
      <c r="G199" s="66">
        <v>1</v>
      </c>
      <c r="H199" s="66">
        <v>8.1999999999999993</v>
      </c>
      <c r="I199" s="66">
        <v>219</v>
      </c>
    </row>
    <row r="200" spans="1:9" x14ac:dyDescent="0.3">
      <c r="A200" s="63" t="s">
        <v>50</v>
      </c>
      <c r="B200" s="68">
        <v>0</v>
      </c>
      <c r="C200" s="65">
        <v>0</v>
      </c>
      <c r="D200" s="65">
        <v>0</v>
      </c>
      <c r="E200" s="66">
        <v>0</v>
      </c>
      <c r="F200" s="66">
        <v>53</v>
      </c>
      <c r="G200" s="66">
        <v>8</v>
      </c>
      <c r="H200" s="66">
        <v>8</v>
      </c>
      <c r="I200" s="66">
        <v>53</v>
      </c>
    </row>
    <row r="201" spans="1:9" x14ac:dyDescent="0.3">
      <c r="A201" s="63" t="s">
        <v>52</v>
      </c>
      <c r="B201" s="68">
        <v>0</v>
      </c>
      <c r="C201" s="65">
        <v>0</v>
      </c>
      <c r="D201" s="65">
        <v>0</v>
      </c>
      <c r="E201" s="66">
        <v>0</v>
      </c>
      <c r="F201" s="66">
        <v>116</v>
      </c>
      <c r="G201" s="66">
        <v>6</v>
      </c>
      <c r="H201" s="66">
        <v>6</v>
      </c>
      <c r="I201" s="66">
        <v>116</v>
      </c>
    </row>
    <row r="202" spans="1:9" x14ac:dyDescent="0.3">
      <c r="A202" s="63" t="s">
        <v>53</v>
      </c>
      <c r="B202" s="68">
        <v>0</v>
      </c>
      <c r="C202" s="65">
        <v>0</v>
      </c>
      <c r="D202" s="65">
        <v>0</v>
      </c>
      <c r="E202" s="66">
        <v>0</v>
      </c>
      <c r="F202" s="66">
        <v>37</v>
      </c>
      <c r="G202" s="66">
        <v>3</v>
      </c>
      <c r="H202" s="66">
        <v>3</v>
      </c>
      <c r="I202" s="66">
        <v>37</v>
      </c>
    </row>
    <row r="204" spans="1:9" x14ac:dyDescent="0.3">
      <c r="A204" s="72" t="s">
        <v>54</v>
      </c>
      <c r="B204" s="73">
        <v>0.1174</v>
      </c>
      <c r="C204" s="73">
        <v>8.7999999999999995E-2</v>
      </c>
      <c r="D204" s="73">
        <v>0.17799999999999999</v>
      </c>
      <c r="E204" s="74"/>
      <c r="F204" s="74"/>
      <c r="G204" s="74"/>
      <c r="H204" s="74"/>
      <c r="I204" s="74"/>
    </row>
    <row r="205" spans="1:9" x14ac:dyDescent="0.3">
      <c r="A205" s="72" t="s">
        <v>55</v>
      </c>
      <c r="B205" s="73">
        <v>9.4799999999999995E-2</v>
      </c>
      <c r="C205" s="74"/>
      <c r="D205" s="74"/>
      <c r="E205" s="74"/>
      <c r="F205" s="74"/>
      <c r="G205" s="74"/>
      <c r="H205" s="74"/>
      <c r="I205" s="7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"/>
  <sheetViews>
    <sheetView workbookViewId="0">
      <selection activeCell="H90" sqref="H90"/>
    </sheetView>
  </sheetViews>
  <sheetFormatPr defaultRowHeight="14.4" x14ac:dyDescent="0.3"/>
  <cols>
    <col min="1" max="5" width="13" customWidth="1"/>
    <col min="6" max="6" width="16" customWidth="1"/>
  </cols>
  <sheetData>
    <row r="1" spans="1:6" ht="15.6" customHeight="1" x14ac:dyDescent="0.3">
      <c r="A1" s="14" t="s">
        <v>63</v>
      </c>
      <c r="B1" s="15"/>
      <c r="C1" s="15"/>
      <c r="D1" s="15"/>
      <c r="E1" s="15"/>
      <c r="F1" s="15"/>
    </row>
    <row r="2" spans="1:6" x14ac:dyDescent="0.3">
      <c r="A2" s="1" t="s">
        <v>64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65</v>
      </c>
    </row>
    <row r="3" spans="1:6" x14ac:dyDescent="0.3">
      <c r="A3" s="5">
        <v>0.1</v>
      </c>
      <c r="B3" s="4">
        <v>4.6199999999999998E-2</v>
      </c>
      <c r="C3" s="4">
        <v>3.9899999999999998E-2</v>
      </c>
      <c r="D3" s="4">
        <v>2.5000000000000001E-2</v>
      </c>
      <c r="E3" s="4">
        <v>0.36299999999999999</v>
      </c>
      <c r="F3" s="17">
        <v>21617</v>
      </c>
    </row>
    <row r="4" spans="1:6" x14ac:dyDescent="0.3">
      <c r="A4" s="5">
        <v>0.15</v>
      </c>
      <c r="B4" s="4">
        <v>5.7599999999999998E-2</v>
      </c>
      <c r="C4" s="4">
        <v>4.65E-2</v>
      </c>
      <c r="D4" s="4">
        <v>3.1E-2</v>
      </c>
      <c r="E4" s="4">
        <v>0.34</v>
      </c>
      <c r="F4" s="17">
        <v>15965</v>
      </c>
    </row>
    <row r="5" spans="1:6" x14ac:dyDescent="0.3">
      <c r="A5" s="5">
        <v>0.2</v>
      </c>
      <c r="B5" s="4">
        <v>6.7599999999999993E-2</v>
      </c>
      <c r="C5" s="4">
        <v>5.3900000000000003E-2</v>
      </c>
      <c r="D5" s="4">
        <v>3.7999999999999999E-2</v>
      </c>
      <c r="E5" s="4">
        <v>0.32200000000000001</v>
      </c>
      <c r="F5" s="17">
        <v>12742</v>
      </c>
    </row>
    <row r="6" spans="1:6" x14ac:dyDescent="0.3">
      <c r="A6" s="5">
        <v>0.25</v>
      </c>
      <c r="B6" s="4">
        <v>7.5499999999999998E-2</v>
      </c>
      <c r="C6" s="4">
        <v>5.8599999999999999E-2</v>
      </c>
      <c r="D6" s="4">
        <v>4.2999999999999997E-2</v>
      </c>
      <c r="E6" s="4">
        <v>0.307</v>
      </c>
      <c r="F6" s="17">
        <v>10692</v>
      </c>
    </row>
    <row r="7" spans="1:6" x14ac:dyDescent="0.3">
      <c r="A7" s="5">
        <v>0.3</v>
      </c>
      <c r="B7" s="4">
        <v>8.2100000000000006E-2</v>
      </c>
      <c r="C7" s="4">
        <v>6.2100000000000002E-2</v>
      </c>
      <c r="D7" s="4">
        <v>4.8000000000000001E-2</v>
      </c>
      <c r="E7" s="4">
        <v>0.29199999999999998</v>
      </c>
      <c r="F7" s="17">
        <v>9201</v>
      </c>
    </row>
    <row r="8" spans="1:6" x14ac:dyDescent="0.3">
      <c r="A8" s="5">
        <v>0.35</v>
      </c>
      <c r="B8" s="4">
        <v>8.8599999999999998E-2</v>
      </c>
      <c r="C8" s="4">
        <v>6.6699999999999995E-2</v>
      </c>
      <c r="D8" s="4">
        <v>5.2999999999999999E-2</v>
      </c>
      <c r="E8" s="4">
        <v>0.27400000000000002</v>
      </c>
      <c r="F8" s="17">
        <v>7877</v>
      </c>
    </row>
    <row r="9" spans="1:6" x14ac:dyDescent="0.3">
      <c r="A9" s="5">
        <v>0.4</v>
      </c>
      <c r="B9" s="4">
        <v>9.4399999999999998E-2</v>
      </c>
      <c r="C9" s="4">
        <v>6.9099999999999995E-2</v>
      </c>
      <c r="D9" s="4">
        <v>5.8000000000000003E-2</v>
      </c>
      <c r="E9" s="4">
        <v>0.26200000000000001</v>
      </c>
      <c r="F9" s="17">
        <v>6972</v>
      </c>
    </row>
    <row r="10" spans="1:6" x14ac:dyDescent="0.3">
      <c r="A10" s="5">
        <v>0.45</v>
      </c>
      <c r="B10" s="4">
        <v>9.8900000000000002E-2</v>
      </c>
      <c r="C10" s="4">
        <v>7.0199999999999999E-2</v>
      </c>
      <c r="D10" s="4">
        <v>6.2E-2</v>
      </c>
      <c r="E10" s="4">
        <v>0.24299999999999999</v>
      </c>
      <c r="F10" s="17">
        <v>6021</v>
      </c>
    </row>
    <row r="11" spans="1:6" x14ac:dyDescent="0.3">
      <c r="A11" s="5">
        <v>0.5</v>
      </c>
      <c r="B11" s="4">
        <v>0.1022</v>
      </c>
      <c r="C11" s="4">
        <v>6.8099999999999994E-2</v>
      </c>
      <c r="D11" s="4">
        <v>6.6000000000000003E-2</v>
      </c>
      <c r="E11" s="4">
        <v>0.22900000000000001</v>
      </c>
      <c r="F11" s="17">
        <v>5366</v>
      </c>
    </row>
    <row r="12" spans="1:6" x14ac:dyDescent="0.3">
      <c r="A12" s="5">
        <v>0.6</v>
      </c>
      <c r="B12" s="4">
        <v>0.1067</v>
      </c>
      <c r="C12" s="4">
        <v>7.0800000000000002E-2</v>
      </c>
      <c r="D12" s="4">
        <v>7.2999999999999995E-2</v>
      </c>
      <c r="E12" s="4">
        <v>0.19800000000000001</v>
      </c>
      <c r="F12" s="17">
        <v>4200</v>
      </c>
    </row>
    <row r="13" spans="1:6" x14ac:dyDescent="0.3">
      <c r="A13" s="18">
        <v>0.7</v>
      </c>
      <c r="B13" s="2">
        <v>0.1113</v>
      </c>
      <c r="C13" s="2">
        <v>7.0999999999999994E-2</v>
      </c>
      <c r="D13" s="2">
        <v>8.4000000000000005E-2</v>
      </c>
      <c r="E13" s="2">
        <v>0.16600000000000001</v>
      </c>
      <c r="F13" s="19">
        <v>3136</v>
      </c>
    </row>
    <row r="16" spans="1:6" ht="15.6" customHeight="1" x14ac:dyDescent="0.3">
      <c r="A16" s="14" t="s">
        <v>66</v>
      </c>
      <c r="B16" s="15"/>
      <c r="C16" s="15"/>
      <c r="D16" s="15"/>
      <c r="E16" s="15"/>
      <c r="F16" s="15"/>
    </row>
    <row r="17" spans="1:6" x14ac:dyDescent="0.3">
      <c r="A17" s="1" t="s">
        <v>64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</row>
    <row r="18" spans="1:6" x14ac:dyDescent="0.3">
      <c r="A18" s="5">
        <v>0.01</v>
      </c>
      <c r="B18" s="4">
        <v>1.6999999999999999E-3</v>
      </c>
      <c r="C18" s="4">
        <v>1.5E-3</v>
      </c>
      <c r="D18" s="4">
        <v>1E-3</v>
      </c>
      <c r="E18" s="4">
        <v>0.70899999999999996</v>
      </c>
      <c r="F18" s="17">
        <v>604159</v>
      </c>
    </row>
    <row r="19" spans="1:6" x14ac:dyDescent="0.3">
      <c r="A19" s="5">
        <v>0.02</v>
      </c>
      <c r="B19" s="4">
        <v>3.0000000000000001E-3</v>
      </c>
      <c r="C19" s="4">
        <v>3.2000000000000002E-3</v>
      </c>
      <c r="D19" s="4">
        <v>2E-3</v>
      </c>
      <c r="E19" s="4">
        <v>0.59399999999999997</v>
      </c>
      <c r="F19" s="17">
        <v>336464</v>
      </c>
    </row>
    <row r="20" spans="1:6" x14ac:dyDescent="0.3">
      <c r="A20" s="5">
        <v>0.05</v>
      </c>
      <c r="B20" s="4">
        <v>7.7999999999999996E-3</v>
      </c>
      <c r="C20" s="4">
        <v>8.8999999999999999E-3</v>
      </c>
      <c r="D20" s="4">
        <v>4.0000000000000001E-3</v>
      </c>
      <c r="E20" s="4">
        <v>0.42</v>
      </c>
      <c r="F20" s="17">
        <v>118283</v>
      </c>
    </row>
    <row r="21" spans="1:6" x14ac:dyDescent="0.3">
      <c r="A21" s="5">
        <v>0.1</v>
      </c>
      <c r="B21" s="4">
        <v>1.6400000000000001E-2</v>
      </c>
      <c r="C21" s="4">
        <v>1.61E-2</v>
      </c>
      <c r="D21" s="4">
        <v>8.0000000000000002E-3</v>
      </c>
      <c r="E21" s="4">
        <v>0.26500000000000001</v>
      </c>
      <c r="F21" s="17">
        <v>40934</v>
      </c>
    </row>
    <row r="22" spans="1:6" x14ac:dyDescent="0.3">
      <c r="A22" s="5">
        <v>0.15</v>
      </c>
      <c r="B22" s="4">
        <v>2.53E-2</v>
      </c>
      <c r="C22" s="4">
        <v>1.9300000000000001E-2</v>
      </c>
      <c r="D22" s="4">
        <v>1.4E-2</v>
      </c>
      <c r="E22" s="4">
        <v>0.18099999999999999</v>
      </c>
      <c r="F22" s="17">
        <v>19048</v>
      </c>
    </row>
    <row r="23" spans="1:6" x14ac:dyDescent="0.3">
      <c r="A23" s="5">
        <v>0.2</v>
      </c>
      <c r="B23" s="4">
        <v>3.61E-2</v>
      </c>
      <c r="C23" s="4">
        <v>2.3900000000000001E-2</v>
      </c>
      <c r="D23" s="4">
        <v>2.1000000000000001E-2</v>
      </c>
      <c r="E23" s="4">
        <v>0.14000000000000001</v>
      </c>
      <c r="F23" s="17">
        <v>10352</v>
      </c>
    </row>
    <row r="24" spans="1:6" x14ac:dyDescent="0.3">
      <c r="A24" s="5">
        <v>0.25</v>
      </c>
      <c r="B24" s="4">
        <v>4.6399999999999997E-2</v>
      </c>
      <c r="C24" s="4">
        <v>2.5700000000000001E-2</v>
      </c>
      <c r="D24" s="4">
        <v>2.9000000000000001E-2</v>
      </c>
      <c r="E24" s="4">
        <v>0.113</v>
      </c>
      <c r="F24" s="17">
        <v>6139</v>
      </c>
    </row>
    <row r="25" spans="1:6" x14ac:dyDescent="0.3">
      <c r="A25" s="5">
        <v>0.3</v>
      </c>
      <c r="B25" s="4">
        <v>5.5399999999999998E-2</v>
      </c>
      <c r="C25" s="4">
        <v>2.5600000000000001E-2</v>
      </c>
      <c r="D25" s="4">
        <v>3.9E-2</v>
      </c>
      <c r="E25" s="4">
        <v>9.4E-2</v>
      </c>
      <c r="F25" s="17">
        <v>3864</v>
      </c>
    </row>
    <row r="26" spans="1:6" x14ac:dyDescent="0.3">
      <c r="A26" s="18">
        <v>0.4</v>
      </c>
      <c r="B26" s="2">
        <v>5.67E-2</v>
      </c>
      <c r="C26" s="2">
        <v>2.23E-2</v>
      </c>
      <c r="D26" s="2">
        <v>5.3999999999999999E-2</v>
      </c>
      <c r="E26" s="2">
        <v>5.8999999999999997E-2</v>
      </c>
      <c r="F26" s="19">
        <v>1799</v>
      </c>
    </row>
    <row r="27" spans="1:6" x14ac:dyDescent="0.3">
      <c r="A27" s="5">
        <v>0.5</v>
      </c>
      <c r="B27" s="4">
        <v>4.4999999999999998E-2</v>
      </c>
      <c r="C27" s="4">
        <v>1.7100000000000001E-2</v>
      </c>
      <c r="D27" s="4">
        <v>6.9000000000000006E-2</v>
      </c>
      <c r="E27" s="4">
        <v>3.3000000000000002E-2</v>
      </c>
      <c r="F27" s="17">
        <v>804</v>
      </c>
    </row>
    <row r="28" spans="1:6" x14ac:dyDescent="0.3">
      <c r="A28" s="5">
        <v>0.6</v>
      </c>
      <c r="B28" s="4">
        <v>3.3099999999999997E-2</v>
      </c>
      <c r="C28" s="4">
        <v>1.23E-2</v>
      </c>
      <c r="D28" s="4">
        <v>0.111</v>
      </c>
      <c r="E28" s="4">
        <v>1.9E-2</v>
      </c>
      <c r="F28" s="17">
        <v>298</v>
      </c>
    </row>
    <row r="29" spans="1:6" x14ac:dyDescent="0.3">
      <c r="A29" s="5">
        <v>0.7</v>
      </c>
      <c r="B29" s="4">
        <v>1.1599999999999999E-2</v>
      </c>
      <c r="C29" s="4">
        <v>4.7999999999999996E-3</v>
      </c>
      <c r="D29" s="4">
        <v>0.121</v>
      </c>
      <c r="E29" s="4">
        <v>6.0000000000000001E-3</v>
      </c>
      <c r="F29" s="17">
        <v>86</v>
      </c>
    </row>
    <row r="32" spans="1:6" ht="15.6" customHeight="1" x14ac:dyDescent="0.3">
      <c r="A32" s="14" t="s">
        <v>67</v>
      </c>
      <c r="B32" s="15"/>
      <c r="C32" s="15"/>
      <c r="D32" s="15"/>
      <c r="E32" s="15"/>
      <c r="F32" s="15"/>
    </row>
    <row r="33" spans="1:6" x14ac:dyDescent="0.3">
      <c r="A33" s="1" t="s">
        <v>64</v>
      </c>
      <c r="B33" s="1" t="s">
        <v>3</v>
      </c>
      <c r="C33" s="1" t="s">
        <v>4</v>
      </c>
      <c r="D33" s="1" t="s">
        <v>5</v>
      </c>
      <c r="E33" s="1" t="s">
        <v>6</v>
      </c>
      <c r="F33" s="1" t="s">
        <v>7</v>
      </c>
    </row>
    <row r="34" spans="1:6" x14ac:dyDescent="0.3">
      <c r="A34" s="5">
        <v>0.01</v>
      </c>
      <c r="B34" s="4">
        <v>1.5E-3</v>
      </c>
      <c r="C34" s="4">
        <v>1.2999999999999999E-3</v>
      </c>
      <c r="D34" s="4">
        <v>1E-3</v>
      </c>
      <c r="E34" s="4">
        <v>0.76</v>
      </c>
      <c r="F34" s="17">
        <v>694755</v>
      </c>
    </row>
    <row r="35" spans="1:6" x14ac:dyDescent="0.3">
      <c r="A35" s="5">
        <v>0.02</v>
      </c>
      <c r="B35" s="4">
        <v>3.0000000000000001E-3</v>
      </c>
      <c r="C35" s="4">
        <v>3.3E-3</v>
      </c>
      <c r="D35" s="4">
        <v>1E-3</v>
      </c>
      <c r="E35" s="4">
        <v>0.625</v>
      </c>
      <c r="F35" s="17">
        <v>351484</v>
      </c>
    </row>
    <row r="36" spans="1:6" x14ac:dyDescent="0.3">
      <c r="A36" s="5">
        <v>0.05</v>
      </c>
      <c r="B36" s="4">
        <v>7.4999999999999997E-3</v>
      </c>
      <c r="C36" s="4">
        <v>1.0699999999999999E-2</v>
      </c>
      <c r="D36" s="4">
        <v>4.0000000000000001E-3</v>
      </c>
      <c r="E36" s="4">
        <v>0.36399999999999999</v>
      </c>
      <c r="F36" s="17">
        <v>105690</v>
      </c>
    </row>
    <row r="37" spans="1:6" x14ac:dyDescent="0.3">
      <c r="A37" s="5">
        <v>0.1</v>
      </c>
      <c r="B37" s="4">
        <v>1.52E-2</v>
      </c>
      <c r="C37" s="4">
        <v>1.6899999999999998E-2</v>
      </c>
      <c r="D37" s="4">
        <v>8.0000000000000002E-3</v>
      </c>
      <c r="E37" s="4">
        <v>0.20200000000000001</v>
      </c>
      <c r="F37" s="17">
        <v>33859</v>
      </c>
    </row>
    <row r="38" spans="1:6" x14ac:dyDescent="0.3">
      <c r="A38" s="5">
        <v>0.15</v>
      </c>
      <c r="B38" s="4">
        <v>2.24E-2</v>
      </c>
      <c r="C38" s="4">
        <v>2.1499999999999998E-2</v>
      </c>
      <c r="D38" s="4">
        <v>1.2E-2</v>
      </c>
      <c r="E38" s="4">
        <v>0.13500000000000001</v>
      </c>
      <c r="F38" s="17">
        <v>16218</v>
      </c>
    </row>
    <row r="39" spans="1:6" x14ac:dyDescent="0.3">
      <c r="A39" s="5">
        <v>0.2</v>
      </c>
      <c r="B39" s="4">
        <v>3.1199999999999999E-2</v>
      </c>
      <c r="C39" s="4">
        <v>2.8000000000000001E-2</v>
      </c>
      <c r="D39" s="4">
        <v>1.7999999999999999E-2</v>
      </c>
      <c r="E39" s="4">
        <v>0.107</v>
      </c>
      <c r="F39" s="17">
        <v>8936</v>
      </c>
    </row>
    <row r="40" spans="1:6" x14ac:dyDescent="0.3">
      <c r="A40" s="5">
        <v>0.25</v>
      </c>
      <c r="B40" s="4">
        <v>3.85E-2</v>
      </c>
      <c r="C40" s="4">
        <v>2.8799999999999999E-2</v>
      </c>
      <c r="D40" s="4">
        <v>2.5000000000000001E-2</v>
      </c>
      <c r="E40" s="4">
        <v>8.2000000000000003E-2</v>
      </c>
      <c r="F40" s="17">
        <v>5135</v>
      </c>
    </row>
    <row r="41" spans="1:6" x14ac:dyDescent="0.3">
      <c r="A41" s="18">
        <v>0.3</v>
      </c>
      <c r="B41" s="2">
        <v>4.2799999999999998E-2</v>
      </c>
      <c r="C41" s="2">
        <v>3.4099999999999998E-2</v>
      </c>
      <c r="D41" s="2">
        <v>3.3000000000000002E-2</v>
      </c>
      <c r="E41" s="2">
        <v>0.06</v>
      </c>
      <c r="F41" s="19">
        <v>2873</v>
      </c>
    </row>
    <row r="42" spans="1:6" x14ac:dyDescent="0.3">
      <c r="A42" s="5">
        <v>0.4</v>
      </c>
      <c r="B42" s="4">
        <v>3.09E-2</v>
      </c>
      <c r="C42" s="4">
        <v>2.0500000000000001E-2</v>
      </c>
      <c r="D42" s="4">
        <v>4.7E-2</v>
      </c>
      <c r="E42" s="4">
        <v>2.3E-2</v>
      </c>
      <c r="F42" s="17">
        <v>824</v>
      </c>
    </row>
    <row r="43" spans="1:6" x14ac:dyDescent="0.3">
      <c r="A43" s="5">
        <v>0.5</v>
      </c>
      <c r="B43" s="4">
        <v>8.6999999999999994E-3</v>
      </c>
      <c r="C43" s="4">
        <v>4.4999999999999997E-3</v>
      </c>
      <c r="D43" s="4">
        <v>4.4999999999999998E-2</v>
      </c>
      <c r="E43" s="4">
        <v>5.0000000000000001E-3</v>
      </c>
      <c r="F43" s="17">
        <v>182</v>
      </c>
    </row>
    <row r="44" spans="1:6" x14ac:dyDescent="0.3">
      <c r="A44" s="5">
        <v>0.6</v>
      </c>
      <c r="B44" s="4">
        <v>5.0000000000000001E-4</v>
      </c>
      <c r="C44" s="4">
        <v>6.9999999999999999E-4</v>
      </c>
      <c r="D44" s="4">
        <v>0.02</v>
      </c>
      <c r="E44" s="4">
        <v>0</v>
      </c>
      <c r="F44" s="17">
        <v>20</v>
      </c>
    </row>
    <row r="45" spans="1:6" x14ac:dyDescent="0.3">
      <c r="A45" s="5">
        <v>0.7</v>
      </c>
      <c r="B45" s="4">
        <v>0</v>
      </c>
      <c r="C45" s="4">
        <v>0</v>
      </c>
      <c r="D45" s="4">
        <v>0</v>
      </c>
      <c r="E45" s="4">
        <v>0</v>
      </c>
      <c r="F45" s="17">
        <v>0</v>
      </c>
    </row>
    <row r="47" spans="1:6" ht="15.6" customHeight="1" x14ac:dyDescent="0.3">
      <c r="A47" s="14" t="s">
        <v>70</v>
      </c>
      <c r="B47" s="15"/>
      <c r="C47" s="15"/>
      <c r="D47" s="15"/>
      <c r="E47" s="15"/>
      <c r="F47" s="15"/>
    </row>
    <row r="48" spans="1:6" x14ac:dyDescent="0.3">
      <c r="A48" s="26" t="s">
        <v>64</v>
      </c>
      <c r="B48" s="26" t="s">
        <v>3</v>
      </c>
      <c r="C48" s="26" t="s">
        <v>4</v>
      </c>
      <c r="D48" s="26" t="s">
        <v>5</v>
      </c>
      <c r="E48" s="26" t="s">
        <v>6</v>
      </c>
      <c r="F48" s="26" t="s">
        <v>7</v>
      </c>
    </row>
    <row r="49" spans="1:6" x14ac:dyDescent="0.3">
      <c r="A49" s="23">
        <v>0.1</v>
      </c>
      <c r="B49" s="24">
        <v>4.4499999999999998E-2</v>
      </c>
      <c r="C49" s="24">
        <v>5.1400000000000001E-2</v>
      </c>
      <c r="D49" s="24">
        <v>2.3E-2</v>
      </c>
      <c r="E49" s="24">
        <v>0.41699999999999998</v>
      </c>
      <c r="F49" s="25">
        <v>26252</v>
      </c>
    </row>
    <row r="50" spans="1:6" x14ac:dyDescent="0.3">
      <c r="A50" s="23">
        <v>0.15</v>
      </c>
      <c r="B50" s="24">
        <v>5.62E-2</v>
      </c>
      <c r="C50" s="24">
        <v>6.1600000000000002E-2</v>
      </c>
      <c r="D50" s="24">
        <v>0.03</v>
      </c>
      <c r="E50" s="24">
        <v>0.38900000000000001</v>
      </c>
      <c r="F50" s="25">
        <v>19209</v>
      </c>
    </row>
    <row r="51" spans="1:6" x14ac:dyDescent="0.3">
      <c r="A51" s="23">
        <v>0.2</v>
      </c>
      <c r="B51" s="24">
        <v>6.4699999999999994E-2</v>
      </c>
      <c r="C51" s="24">
        <v>6.8099999999999994E-2</v>
      </c>
      <c r="D51" s="24">
        <v>3.5999999999999997E-2</v>
      </c>
      <c r="E51" s="24">
        <v>0.36099999999999999</v>
      </c>
      <c r="F51" s="25">
        <v>15161</v>
      </c>
    </row>
    <row r="52" spans="1:6" x14ac:dyDescent="0.3">
      <c r="A52" s="23">
        <v>0.25</v>
      </c>
      <c r="B52" s="24">
        <v>7.1499999999999994E-2</v>
      </c>
      <c r="C52" s="24">
        <v>6.9699999999999998E-2</v>
      </c>
      <c r="D52" s="24">
        <v>0.04</v>
      </c>
      <c r="E52" s="24">
        <v>0.33800000000000002</v>
      </c>
      <c r="F52" s="25">
        <v>12598</v>
      </c>
    </row>
    <row r="53" spans="1:6" x14ac:dyDescent="0.3">
      <c r="A53" s="23">
        <v>0.3</v>
      </c>
      <c r="B53" s="24">
        <v>8.0500000000000002E-2</v>
      </c>
      <c r="C53" s="24">
        <v>7.46E-2</v>
      </c>
      <c r="D53" s="24">
        <v>4.5999999999999999E-2</v>
      </c>
      <c r="E53" s="24">
        <v>0.31900000000000001</v>
      </c>
      <c r="F53" s="25">
        <v>10514</v>
      </c>
    </row>
    <row r="54" spans="1:6" x14ac:dyDescent="0.3">
      <c r="A54" s="23">
        <v>0.35</v>
      </c>
      <c r="B54" s="24">
        <v>8.8999999999999996E-2</v>
      </c>
      <c r="C54" s="24">
        <v>8.1199999999999994E-2</v>
      </c>
      <c r="D54" s="24">
        <v>5.1999999999999998E-2</v>
      </c>
      <c r="E54" s="24">
        <v>0.30099999999999999</v>
      </c>
      <c r="F54" s="25">
        <v>8780</v>
      </c>
    </row>
    <row r="55" spans="1:6" x14ac:dyDescent="0.3">
      <c r="A55" s="30">
        <v>0.4</v>
      </c>
      <c r="B55" s="31">
        <v>9.5500000000000002E-2</v>
      </c>
      <c r="C55" s="31">
        <v>8.5900000000000004E-2</v>
      </c>
      <c r="D55" s="31">
        <v>5.7000000000000002E-2</v>
      </c>
      <c r="E55" s="31">
        <v>0.28299999999999997</v>
      </c>
      <c r="F55" s="32">
        <v>7477</v>
      </c>
    </row>
    <row r="56" spans="1:6" x14ac:dyDescent="0.3">
      <c r="A56" s="23">
        <v>0.45</v>
      </c>
      <c r="B56" s="24">
        <v>0.10150000000000001</v>
      </c>
      <c r="C56" s="24">
        <v>8.8499999999999995E-2</v>
      </c>
      <c r="D56" s="24">
        <v>6.3E-2</v>
      </c>
      <c r="E56" s="24">
        <v>0.26600000000000001</v>
      </c>
      <c r="F56" s="25">
        <v>6476</v>
      </c>
    </row>
    <row r="57" spans="1:6" x14ac:dyDescent="0.3">
      <c r="A57" s="23">
        <v>0.5</v>
      </c>
      <c r="B57" s="24">
        <v>0.1082</v>
      </c>
      <c r="C57" s="24">
        <v>9.1800000000000007E-2</v>
      </c>
      <c r="D57" s="24">
        <v>6.9000000000000006E-2</v>
      </c>
      <c r="E57" s="24">
        <v>0.246</v>
      </c>
      <c r="F57" s="25">
        <v>5533</v>
      </c>
    </row>
    <row r="58" spans="1:6" x14ac:dyDescent="0.3">
      <c r="A58" s="20">
        <v>0.6</v>
      </c>
      <c r="B58" s="21">
        <v>0.12</v>
      </c>
      <c r="C58" s="21">
        <v>9.4600000000000004E-2</v>
      </c>
      <c r="D58" s="21">
        <v>8.3000000000000004E-2</v>
      </c>
      <c r="E58" s="21">
        <v>0.215</v>
      </c>
      <c r="F58" s="22">
        <v>4081</v>
      </c>
    </row>
    <row r="59" spans="1:6" x14ac:dyDescent="0.3">
      <c r="A59" s="27">
        <v>0.7</v>
      </c>
      <c r="B59" s="28">
        <v>0.12839999999999999</v>
      </c>
      <c r="C59" s="28">
        <v>9.8599999999999993E-2</v>
      </c>
      <c r="D59" s="28">
        <v>0.1</v>
      </c>
      <c r="E59" s="28">
        <v>0.17899999999999999</v>
      </c>
      <c r="F59" s="29">
        <v>2853</v>
      </c>
    </row>
    <row r="61" spans="1:6" ht="15.6" x14ac:dyDescent="0.3">
      <c r="A61" s="86" t="s">
        <v>68</v>
      </c>
      <c r="B61" s="61"/>
      <c r="C61" s="61"/>
      <c r="D61" s="61"/>
      <c r="E61" s="61"/>
      <c r="F61" s="61"/>
    </row>
    <row r="62" spans="1:6" x14ac:dyDescent="0.3">
      <c r="A62" s="62" t="s">
        <v>64</v>
      </c>
      <c r="B62" s="62" t="s">
        <v>3</v>
      </c>
      <c r="C62" s="62" t="s">
        <v>4</v>
      </c>
      <c r="D62" s="62" t="s">
        <v>5</v>
      </c>
      <c r="E62" s="62" t="s">
        <v>6</v>
      </c>
      <c r="F62" s="62" t="s">
        <v>7</v>
      </c>
    </row>
    <row r="63" spans="1:6" x14ac:dyDescent="0.3">
      <c r="A63" s="75">
        <v>0.1</v>
      </c>
      <c r="B63" s="65">
        <v>4.6800000000000001E-2</v>
      </c>
      <c r="C63" s="65">
        <v>5.3800000000000001E-2</v>
      </c>
      <c r="D63" s="65">
        <v>2.5000000000000001E-2</v>
      </c>
      <c r="E63" s="65">
        <v>0.46400000000000002</v>
      </c>
      <c r="F63" s="76">
        <v>27272</v>
      </c>
    </row>
    <row r="64" spans="1:6" x14ac:dyDescent="0.3">
      <c r="A64" s="75">
        <v>0.15</v>
      </c>
      <c r="B64" s="65">
        <v>5.9200000000000003E-2</v>
      </c>
      <c r="C64" s="65">
        <v>6.4399999999999999E-2</v>
      </c>
      <c r="D64" s="65">
        <v>3.2000000000000001E-2</v>
      </c>
      <c r="E64" s="65">
        <v>0.433</v>
      </c>
      <c r="F64" s="76">
        <v>20100</v>
      </c>
    </row>
    <row r="65" spans="1:6" x14ac:dyDescent="0.3">
      <c r="A65" s="75">
        <v>0.2</v>
      </c>
      <c r="B65" s="65">
        <v>7.0499999999999993E-2</v>
      </c>
      <c r="C65" s="65">
        <v>7.5200000000000003E-2</v>
      </c>
      <c r="D65" s="65">
        <v>3.9E-2</v>
      </c>
      <c r="E65" s="65">
        <v>0.40600000000000003</v>
      </c>
      <c r="F65" s="76">
        <v>15695</v>
      </c>
    </row>
    <row r="66" spans="1:6" x14ac:dyDescent="0.3">
      <c r="A66" s="75">
        <v>0.25</v>
      </c>
      <c r="B66" s="65">
        <v>7.9100000000000004E-2</v>
      </c>
      <c r="C66" s="65">
        <v>8.0199999999999994E-2</v>
      </c>
      <c r="D66" s="65">
        <v>4.3999999999999997E-2</v>
      </c>
      <c r="E66" s="65">
        <v>0.38100000000000001</v>
      </c>
      <c r="F66" s="76">
        <v>12852</v>
      </c>
    </row>
    <row r="67" spans="1:6" x14ac:dyDescent="0.3">
      <c r="A67" s="75">
        <v>0.3</v>
      </c>
      <c r="B67" s="65">
        <v>8.6599999999999996E-2</v>
      </c>
      <c r="C67" s="65">
        <v>8.3799999999999999E-2</v>
      </c>
      <c r="D67" s="65">
        <v>4.9000000000000002E-2</v>
      </c>
      <c r="E67" s="65">
        <v>0.35399999999999998</v>
      </c>
      <c r="F67" s="76">
        <v>10804</v>
      </c>
    </row>
    <row r="68" spans="1:6" x14ac:dyDescent="0.3">
      <c r="A68" s="75">
        <v>0.35</v>
      </c>
      <c r="B68" s="65">
        <v>9.4299999999999995E-2</v>
      </c>
      <c r="C68" s="65">
        <v>8.8099999999999998E-2</v>
      </c>
      <c r="D68" s="65">
        <v>5.5E-2</v>
      </c>
      <c r="E68" s="65">
        <v>0.33600000000000002</v>
      </c>
      <c r="F68" s="76">
        <v>9229</v>
      </c>
    </row>
    <row r="69" spans="1:6" x14ac:dyDescent="0.3">
      <c r="A69" s="75">
        <v>0.4</v>
      </c>
      <c r="B69" s="65">
        <v>0.1018</v>
      </c>
      <c r="C69" s="65">
        <v>9.1399999999999995E-2</v>
      </c>
      <c r="D69" s="65">
        <v>6.0999999999999999E-2</v>
      </c>
      <c r="E69" s="65">
        <v>0.318</v>
      </c>
      <c r="F69" s="76">
        <v>7913</v>
      </c>
    </row>
    <row r="70" spans="1:6" x14ac:dyDescent="0.3">
      <c r="A70" s="75">
        <v>0.45</v>
      </c>
      <c r="B70" s="65">
        <v>0.10879999999999999</v>
      </c>
      <c r="C70" s="65">
        <v>9.74E-2</v>
      </c>
      <c r="D70" s="65">
        <v>6.7000000000000004E-2</v>
      </c>
      <c r="E70" s="65">
        <v>0.29799999999999999</v>
      </c>
      <c r="F70" s="76">
        <v>6822</v>
      </c>
    </row>
    <row r="71" spans="1:6" x14ac:dyDescent="0.3">
      <c r="A71" s="75">
        <v>0.5</v>
      </c>
      <c r="B71" s="65">
        <v>0.11260000000000001</v>
      </c>
      <c r="C71" s="65">
        <v>9.8500000000000004E-2</v>
      </c>
      <c r="D71" s="65">
        <v>7.0999999999999994E-2</v>
      </c>
      <c r="E71" s="65">
        <v>0.27600000000000002</v>
      </c>
      <c r="F71" s="76">
        <v>5967</v>
      </c>
    </row>
    <row r="72" spans="1:6" x14ac:dyDescent="0.3">
      <c r="A72" s="75">
        <v>0.6</v>
      </c>
      <c r="B72" s="65">
        <v>0.1255</v>
      </c>
      <c r="C72" s="65">
        <v>0.1032</v>
      </c>
      <c r="D72" s="65">
        <v>8.5999999999999993E-2</v>
      </c>
      <c r="E72" s="65">
        <v>0.23499999999999999</v>
      </c>
      <c r="F72" s="76">
        <v>4337</v>
      </c>
    </row>
    <row r="73" spans="1:6" x14ac:dyDescent="0.3">
      <c r="A73" s="77">
        <v>0.7</v>
      </c>
      <c r="B73" s="78">
        <v>0.13389999999999999</v>
      </c>
      <c r="C73" s="78">
        <v>0.1031</v>
      </c>
      <c r="D73" s="78">
        <v>0.10100000000000001</v>
      </c>
      <c r="E73" s="78">
        <v>0.19900000000000001</v>
      </c>
      <c r="F73" s="79">
        <v>3160</v>
      </c>
    </row>
    <row r="75" spans="1:6" ht="15.6" x14ac:dyDescent="0.3">
      <c r="A75" s="86" t="s">
        <v>69</v>
      </c>
      <c r="B75" s="61"/>
      <c r="C75" s="61"/>
      <c r="D75" s="61"/>
      <c r="E75" s="61"/>
      <c r="F75" s="61"/>
    </row>
    <row r="76" spans="1:6" x14ac:dyDescent="0.3">
      <c r="A76" s="62" t="s">
        <v>64</v>
      </c>
      <c r="B76" s="62" t="s">
        <v>3</v>
      </c>
      <c r="C76" s="62" t="s">
        <v>4</v>
      </c>
      <c r="D76" s="62" t="s">
        <v>5</v>
      </c>
      <c r="E76" s="62" t="s">
        <v>6</v>
      </c>
      <c r="F76" s="62" t="s">
        <v>7</v>
      </c>
    </row>
    <row r="77" spans="1:6" x14ac:dyDescent="0.3">
      <c r="A77" s="75">
        <v>0.1</v>
      </c>
      <c r="B77" s="65">
        <v>3.9300000000000002E-2</v>
      </c>
      <c r="C77" s="65">
        <v>4.0599999999999997E-2</v>
      </c>
      <c r="D77" s="65">
        <v>2.1000000000000001E-2</v>
      </c>
      <c r="E77" s="65">
        <v>0.41499999999999998</v>
      </c>
      <c r="F77" s="76">
        <v>29861</v>
      </c>
    </row>
    <row r="78" spans="1:6" x14ac:dyDescent="0.3">
      <c r="A78" s="75">
        <v>0.15</v>
      </c>
      <c r="B78" s="65">
        <v>5.04E-2</v>
      </c>
      <c r="C78" s="65">
        <v>5.0099999999999999E-2</v>
      </c>
      <c r="D78" s="65">
        <v>2.7E-2</v>
      </c>
      <c r="E78" s="65">
        <v>0.39300000000000002</v>
      </c>
      <c r="F78" s="76">
        <v>21655</v>
      </c>
    </row>
    <row r="79" spans="1:6" x14ac:dyDescent="0.3">
      <c r="A79" s="75">
        <v>0.2</v>
      </c>
      <c r="B79" s="65">
        <v>5.8999999999999997E-2</v>
      </c>
      <c r="C79" s="65">
        <v>5.5300000000000002E-2</v>
      </c>
      <c r="D79" s="65">
        <v>3.2000000000000001E-2</v>
      </c>
      <c r="E79" s="65">
        <v>0.36799999999999999</v>
      </c>
      <c r="F79" s="76">
        <v>17129</v>
      </c>
    </row>
    <row r="80" spans="1:6" x14ac:dyDescent="0.3">
      <c r="A80" s="75">
        <v>0.25</v>
      </c>
      <c r="B80" s="65">
        <v>6.6600000000000006E-2</v>
      </c>
      <c r="C80" s="65">
        <v>6.1699999999999998E-2</v>
      </c>
      <c r="D80" s="65">
        <v>3.6999999999999998E-2</v>
      </c>
      <c r="E80" s="65">
        <v>0.34499999999999997</v>
      </c>
      <c r="F80" s="76">
        <v>13932</v>
      </c>
    </row>
    <row r="81" spans="1:6" x14ac:dyDescent="0.3">
      <c r="A81" s="75">
        <v>0.3</v>
      </c>
      <c r="B81" s="65">
        <v>7.2499999999999995E-2</v>
      </c>
      <c r="C81" s="65">
        <v>6.5500000000000003E-2</v>
      </c>
      <c r="D81" s="65">
        <v>4.1000000000000002E-2</v>
      </c>
      <c r="E81" s="65">
        <v>0.32</v>
      </c>
      <c r="F81" s="76">
        <v>11672</v>
      </c>
    </row>
    <row r="82" spans="1:6" x14ac:dyDescent="0.3">
      <c r="A82" s="75">
        <v>0.35</v>
      </c>
      <c r="B82" s="65">
        <v>7.8600000000000003E-2</v>
      </c>
      <c r="C82" s="65">
        <v>6.8699999999999997E-2</v>
      </c>
      <c r="D82" s="65">
        <v>4.4999999999999998E-2</v>
      </c>
      <c r="E82" s="65">
        <v>0.29799999999999999</v>
      </c>
      <c r="F82" s="76">
        <v>9874</v>
      </c>
    </row>
    <row r="83" spans="1:6" x14ac:dyDescent="0.3">
      <c r="A83" s="75">
        <v>0.4</v>
      </c>
      <c r="B83" s="65">
        <v>8.4400000000000003E-2</v>
      </c>
      <c r="C83" s="65">
        <v>7.2900000000000006E-2</v>
      </c>
      <c r="D83" s="65">
        <v>0.05</v>
      </c>
      <c r="E83" s="65">
        <v>0.28000000000000003</v>
      </c>
      <c r="F83" s="76">
        <v>8508</v>
      </c>
    </row>
    <row r="84" spans="1:6" x14ac:dyDescent="0.3">
      <c r="A84" s="75">
        <v>0.45</v>
      </c>
      <c r="B84" s="65">
        <v>9.01E-2</v>
      </c>
      <c r="C84" s="65">
        <v>7.85E-2</v>
      </c>
      <c r="D84" s="65">
        <v>5.3999999999999999E-2</v>
      </c>
      <c r="E84" s="65">
        <v>0.26100000000000001</v>
      </c>
      <c r="F84" s="76">
        <v>7322</v>
      </c>
    </row>
    <row r="85" spans="1:6" x14ac:dyDescent="0.3">
      <c r="A85" s="75">
        <v>0.5</v>
      </c>
      <c r="B85" s="65">
        <v>9.4899999999999998E-2</v>
      </c>
      <c r="C85" s="65">
        <v>8.1000000000000003E-2</v>
      </c>
      <c r="D85" s="65">
        <v>5.8999999999999997E-2</v>
      </c>
      <c r="E85" s="65">
        <v>0.24299999999999999</v>
      </c>
      <c r="F85" s="76">
        <v>6356</v>
      </c>
    </row>
    <row r="86" spans="1:6" x14ac:dyDescent="0.3">
      <c r="A86" s="75">
        <v>0.6</v>
      </c>
      <c r="B86" s="65">
        <v>0.1043</v>
      </c>
      <c r="C86" s="65">
        <v>8.6499999999999994E-2</v>
      </c>
      <c r="D86" s="65">
        <v>7.0000000000000007E-2</v>
      </c>
      <c r="E86" s="65">
        <v>0.20699999999999999</v>
      </c>
      <c r="F86" s="76">
        <v>4617</v>
      </c>
    </row>
    <row r="87" spans="1:6" x14ac:dyDescent="0.3">
      <c r="A87" s="77">
        <v>0.7</v>
      </c>
      <c r="B87" s="78">
        <v>0.1174</v>
      </c>
      <c r="C87" s="78">
        <v>9.4799999999999995E-2</v>
      </c>
      <c r="D87" s="78">
        <v>8.7999999999999995E-2</v>
      </c>
      <c r="E87" s="78">
        <v>0.17799999999999999</v>
      </c>
      <c r="F87" s="79">
        <v>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B16" sqref="B16"/>
    </sheetView>
  </sheetViews>
  <sheetFormatPr defaultRowHeight="14.4" x14ac:dyDescent="0.3"/>
  <cols>
    <col min="1" max="1" width="32" customWidth="1"/>
    <col min="2" max="2" width="16.77734375" customWidth="1"/>
    <col min="3" max="3" width="16.33203125" customWidth="1"/>
    <col min="4" max="8" width="13" customWidth="1"/>
    <col min="9" max="9" width="58.109375" customWidth="1"/>
  </cols>
  <sheetData>
    <row r="1" spans="1:9" x14ac:dyDescent="0.3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</row>
    <row r="2" spans="1:9" x14ac:dyDescent="0.3">
      <c r="A2" s="80" t="s">
        <v>77</v>
      </c>
      <c r="B2" s="81" t="s">
        <v>9</v>
      </c>
      <c r="C2" s="81" t="s">
        <v>10</v>
      </c>
      <c r="D2" s="92">
        <v>0.13389999999999999</v>
      </c>
      <c r="E2" s="93">
        <v>0.1031</v>
      </c>
      <c r="F2" s="93">
        <v>0.10100000000000001</v>
      </c>
      <c r="G2" s="93">
        <v>0.19900000000000001</v>
      </c>
      <c r="H2" s="82">
        <v>3160</v>
      </c>
      <c r="I2" s="90" t="s">
        <v>76</v>
      </c>
    </row>
    <row r="3" spans="1:9" x14ac:dyDescent="0.3">
      <c r="A3" s="83" t="s">
        <v>11</v>
      </c>
      <c r="B3" s="84" t="s">
        <v>12</v>
      </c>
      <c r="C3" s="84" t="s">
        <v>12</v>
      </c>
      <c r="D3" s="94">
        <v>0.13200000000000001</v>
      </c>
      <c r="E3" s="94">
        <v>0.12</v>
      </c>
      <c r="F3" s="94" t="s">
        <v>12</v>
      </c>
      <c r="G3" s="94" t="s">
        <v>12</v>
      </c>
      <c r="H3" s="84" t="s">
        <v>12</v>
      </c>
      <c r="I3" s="99" t="s">
        <v>73</v>
      </c>
    </row>
    <row r="4" spans="1:9" x14ac:dyDescent="0.3">
      <c r="A4" s="90" t="s">
        <v>78</v>
      </c>
      <c r="B4" s="91" t="s">
        <v>9</v>
      </c>
      <c r="C4" s="91" t="s">
        <v>10</v>
      </c>
      <c r="D4" s="95">
        <v>0.12839999999999999</v>
      </c>
      <c r="E4" s="95">
        <v>9.8599999999999993E-2</v>
      </c>
      <c r="F4" s="95">
        <v>0.1</v>
      </c>
      <c r="G4" s="95">
        <v>0.17899999999999999</v>
      </c>
      <c r="H4" s="91">
        <v>2853</v>
      </c>
      <c r="I4" s="90" t="s">
        <v>74</v>
      </c>
    </row>
    <row r="5" spans="1:9" x14ac:dyDescent="0.3">
      <c r="A5" s="90" t="s">
        <v>79</v>
      </c>
      <c r="B5" s="91" t="s">
        <v>9</v>
      </c>
      <c r="C5" s="91" t="s">
        <v>10</v>
      </c>
      <c r="D5" s="95">
        <v>0.1174</v>
      </c>
      <c r="E5" s="95">
        <v>9.4799999999999995E-2</v>
      </c>
      <c r="F5" s="95">
        <v>8.7999999999999995E-2</v>
      </c>
      <c r="G5" s="95">
        <v>0.17799999999999999</v>
      </c>
      <c r="H5" s="91">
        <v>3225</v>
      </c>
      <c r="I5" s="90" t="s">
        <v>75</v>
      </c>
    </row>
    <row r="6" spans="1:9" x14ac:dyDescent="0.3">
      <c r="A6" s="90" t="s">
        <v>80</v>
      </c>
      <c r="B6" s="91" t="s">
        <v>9</v>
      </c>
      <c r="C6" s="91" t="s">
        <v>10</v>
      </c>
      <c r="D6" s="95">
        <v>0.1113</v>
      </c>
      <c r="E6" s="95">
        <v>7.0999999999999994E-2</v>
      </c>
      <c r="F6" s="95">
        <v>8.4000000000000005E-2</v>
      </c>
      <c r="G6" s="95">
        <v>0.16600000000000001</v>
      </c>
      <c r="H6" s="91">
        <v>3136</v>
      </c>
      <c r="I6" s="90" t="s">
        <v>13</v>
      </c>
    </row>
    <row r="7" spans="1:9" x14ac:dyDescent="0.3">
      <c r="A7" s="83" t="s">
        <v>14</v>
      </c>
      <c r="B7" s="84" t="s">
        <v>12</v>
      </c>
      <c r="C7" s="84" t="s">
        <v>12</v>
      </c>
      <c r="D7" s="94">
        <v>0.107</v>
      </c>
      <c r="E7" s="94">
        <v>7.2999999999999995E-2</v>
      </c>
      <c r="F7" s="96"/>
      <c r="G7" s="96"/>
      <c r="H7" s="85"/>
      <c r="I7" s="83" t="s">
        <v>15</v>
      </c>
    </row>
    <row r="8" spans="1:9" x14ac:dyDescent="0.3">
      <c r="A8" s="90" t="s">
        <v>16</v>
      </c>
      <c r="B8" s="91" t="s">
        <v>9</v>
      </c>
      <c r="C8" s="91" t="s">
        <v>17</v>
      </c>
      <c r="D8" s="95">
        <v>5.67E-2</v>
      </c>
      <c r="E8" s="95">
        <v>1.7100000000000001E-2</v>
      </c>
      <c r="F8" s="95">
        <v>5.3999999999999999E-2</v>
      </c>
      <c r="G8" s="95">
        <v>5.8999999999999997E-2</v>
      </c>
      <c r="H8" s="91">
        <v>1799</v>
      </c>
      <c r="I8" s="90" t="s">
        <v>18</v>
      </c>
    </row>
    <row r="9" spans="1:9" x14ac:dyDescent="0.3">
      <c r="A9" s="90" t="s">
        <v>19</v>
      </c>
      <c r="B9" s="91" t="s">
        <v>9</v>
      </c>
      <c r="C9" s="91" t="s">
        <v>20</v>
      </c>
      <c r="D9" s="95">
        <v>4.2799999999999998E-2</v>
      </c>
      <c r="E9" s="95">
        <v>4.4999999999999997E-3</v>
      </c>
      <c r="F9" s="95">
        <v>3.3000000000000002E-2</v>
      </c>
      <c r="G9" s="95">
        <v>0.06</v>
      </c>
      <c r="H9" s="91">
        <v>2873</v>
      </c>
      <c r="I9" s="90" t="s">
        <v>72</v>
      </c>
    </row>
    <row r="10" spans="1:9" x14ac:dyDescent="0.3">
      <c r="A10" s="87" t="s">
        <v>21</v>
      </c>
      <c r="B10" s="88" t="s">
        <v>12</v>
      </c>
      <c r="C10" s="88" t="s">
        <v>12</v>
      </c>
      <c r="D10" s="97">
        <v>3.6700000000000003E-2</v>
      </c>
      <c r="E10" s="97">
        <v>4.02E-2</v>
      </c>
      <c r="F10" s="97">
        <v>0.15629999999999999</v>
      </c>
      <c r="G10" s="97">
        <v>2.0799999999999999E-2</v>
      </c>
      <c r="H10" s="88">
        <v>228</v>
      </c>
      <c r="I10" s="89" t="s">
        <v>22</v>
      </c>
    </row>
    <row r="11" spans="1:9" x14ac:dyDescent="0.3">
      <c r="A11" s="63" t="s">
        <v>23</v>
      </c>
      <c r="B11" s="84" t="s">
        <v>12</v>
      </c>
      <c r="C11" s="84" t="s">
        <v>12</v>
      </c>
      <c r="D11" s="94">
        <v>2E-3</v>
      </c>
      <c r="E11" s="94" t="s">
        <v>12</v>
      </c>
      <c r="F11" s="94" t="s">
        <v>12</v>
      </c>
      <c r="G11" s="94" t="s">
        <v>12</v>
      </c>
      <c r="H11" s="84" t="s">
        <v>12</v>
      </c>
      <c r="I11" s="98" t="s">
        <v>71</v>
      </c>
    </row>
    <row r="13" spans="1:9" x14ac:dyDescent="0.3">
      <c r="A13" s="83"/>
      <c r="B13" s="84"/>
      <c r="C13" s="84"/>
      <c r="D13" s="65"/>
      <c r="E13" s="65"/>
      <c r="F13" s="65"/>
      <c r="G13" s="65"/>
      <c r="H13" s="76"/>
      <c r="I13" s="83"/>
    </row>
    <row r="14" spans="1:9" x14ac:dyDescent="0.3">
      <c r="A14" s="8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Per-Technique Results</vt:lpstr>
      <vt:lpstr>Threshold Sweeps</vt:lpstr>
      <vt:lpstr>All Models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Vieira</cp:lastModifiedBy>
  <dcterms:created xsi:type="dcterms:W3CDTF">2026-03-25T16:41:12Z</dcterms:created>
  <dcterms:modified xsi:type="dcterms:W3CDTF">2026-10-12T13:56:24Z</dcterms:modified>
</cp:coreProperties>
</file>